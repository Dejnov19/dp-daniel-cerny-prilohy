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rny\Desktop\skola\Ekonomka\diplomka\zdroje\preciosa_zdroje\codex_source\prilohy\"/>
    </mc:Choice>
  </mc:AlternateContent>
  <xr:revisionPtr revIDLastSave="0" documentId="13_ncr:1_{19BB775D-7F83-4B48-A0B2-8D19F814EDDC}" xr6:coauthVersionLast="47" xr6:coauthVersionMax="47" xr10:uidLastSave="{00000000-0000-0000-0000-000000000000}"/>
  <bookViews>
    <workbookView xWindow="-110" yWindow="-110" windowWidth="25820" windowHeight="15500" tabRatio="766" xr2:uid="{00000000-000D-0000-FFFF-FFFF00000000}"/>
  </bookViews>
  <sheets>
    <sheet name="AC_proces zpracování grafik" sheetId="9" r:id="rId1"/>
    <sheet name="Význam vady" sheetId="2" r:id="rId2"/>
    <sheet name="Pravděpodobnost výskytu" sheetId="3" r:id="rId3"/>
    <sheet name="Pravděpodobnost odhalení" sheetId="4" r:id="rId4"/>
    <sheet name="List1" sheetId="6" r:id="rId5"/>
  </sheets>
  <definedNames>
    <definedName name="_xlnm.Print_Area" localSheetId="0">'AC_proces zpracování grafik'!$B$1:$D$23</definedName>
    <definedName name="_xlnm.Print_Area" localSheetId="3">'Pravděpodobnost odhalení'!$A$1:$E$13</definedName>
    <definedName name="_xlnm.Print_Area" localSheetId="2">'Pravděpodobnost výskytu'!$A$1:$C$13</definedName>
    <definedName name="_xlnm.Print_Area" localSheetId="1">'Význam vady'!$A$1:$F$13</definedName>
    <definedName name="Více_než_1_z_10">'Pravděpodobnost výskytu'!$B$5:$B$13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9" l="1"/>
  <c r="I4" i="9"/>
  <c r="L4" i="9"/>
  <c r="P4" i="9"/>
  <c r="H5" i="9"/>
  <c r="I5" i="9"/>
  <c r="L5" i="9"/>
  <c r="P5" i="9"/>
  <c r="H6" i="9"/>
  <c r="I6" i="9"/>
  <c r="L6" i="9"/>
  <c r="P6" i="9"/>
  <c r="H7" i="9"/>
  <c r="I7" i="9"/>
  <c r="L7" i="9"/>
  <c r="P7" i="9"/>
  <c r="H8" i="9"/>
  <c r="I8" i="9"/>
  <c r="L8" i="9"/>
  <c r="P8" i="9"/>
  <c r="H9" i="9"/>
  <c r="I9" i="9"/>
  <c r="L9" i="9"/>
  <c r="P9" i="9"/>
  <c r="H10" i="9"/>
  <c r="I10" i="9"/>
  <c r="L10" i="9"/>
  <c r="P10" i="9"/>
  <c r="H11" i="9"/>
  <c r="I11" i="9"/>
  <c r="L11" i="9"/>
  <c r="P11" i="9"/>
  <c r="H12" i="9"/>
  <c r="I12" i="9"/>
  <c r="L12" i="9"/>
  <c r="P12" i="9"/>
  <c r="H13" i="9"/>
  <c r="I13" i="9"/>
  <c r="L13" i="9"/>
  <c r="P13" i="9"/>
  <c r="H14" i="9"/>
  <c r="I14" i="9"/>
  <c r="L14" i="9"/>
  <c r="P14" i="9"/>
  <c r="H15" i="9"/>
  <c r="I15" i="9"/>
  <c r="L15" i="9"/>
  <c r="P15" i="9"/>
  <c r="H16" i="9"/>
  <c r="I16" i="9"/>
  <c r="L16" i="9"/>
  <c r="P16" i="9"/>
  <c r="H17" i="9"/>
  <c r="I17" i="9"/>
  <c r="L17" i="9"/>
  <c r="P17" i="9"/>
  <c r="H18" i="9"/>
  <c r="I18" i="9"/>
  <c r="L18" i="9"/>
  <c r="P18" i="9"/>
  <c r="H19" i="9"/>
  <c r="I19" i="9"/>
  <c r="L19" i="9"/>
  <c r="P19" i="9"/>
  <c r="H20" i="9"/>
  <c r="I20" i="9"/>
  <c r="L20" i="9"/>
  <c r="P20" i="9"/>
  <c r="H21" i="9"/>
  <c r="I21" i="9"/>
  <c r="L21" i="9"/>
  <c r="P21" i="9"/>
  <c r="H22" i="9"/>
  <c r="I22" i="9"/>
  <c r="L22" i="9"/>
  <c r="P22" i="9"/>
  <c r="H23" i="9"/>
  <c r="I23" i="9"/>
  <c r="L23" i="9"/>
  <c r="P23" i="9"/>
  <c r="G17" i="9" l="1"/>
  <c r="Q17" i="9" s="1"/>
  <c r="G23" i="9"/>
  <c r="G22" i="9"/>
  <c r="Q22" i="9" s="1"/>
  <c r="G21" i="9"/>
  <c r="Q21" i="9" s="1"/>
  <c r="G8" i="9"/>
  <c r="Q8" i="9" s="1"/>
  <c r="G20" i="9"/>
  <c r="Q20" i="9" s="1"/>
  <c r="G4" i="9"/>
  <c r="Q4" i="9" s="1"/>
  <c r="G15" i="9"/>
  <c r="Q15" i="9" s="1"/>
  <c r="G12" i="9"/>
  <c r="Q12" i="9" s="1"/>
  <c r="G16" i="9"/>
  <c r="Q16" i="9" s="1"/>
  <c r="G13" i="9"/>
  <c r="Q13" i="9" s="1"/>
  <c r="G6" i="9"/>
  <c r="Q6" i="9" s="1"/>
  <c r="G7" i="9"/>
  <c r="Q7" i="9" s="1"/>
  <c r="G14" i="9"/>
  <c r="Q14" i="9" s="1"/>
  <c r="G18" i="9"/>
  <c r="Q18" i="9" s="1"/>
  <c r="G5" i="9"/>
  <c r="Q5" i="9" s="1"/>
  <c r="Q23" i="9"/>
  <c r="G11" i="9"/>
  <c r="Q11" i="9" s="1"/>
  <c r="G10" i="9"/>
  <c r="Q10" i="9" s="1"/>
  <c r="G19" i="9"/>
  <c r="Q19" i="9" s="1"/>
  <c r="G9" i="9"/>
  <c r="Q9" i="9" s="1"/>
  <c r="P3" i="9"/>
  <c r="L3" i="9"/>
  <c r="I3" i="9"/>
  <c r="H3" i="9"/>
  <c r="G3" i="9" l="1"/>
  <c r="Q3" i="9" s="1"/>
</calcChain>
</file>

<file path=xl/sharedStrings.xml><?xml version="1.0" encoding="utf-8"?>
<sst xmlns="http://schemas.openxmlformats.org/spreadsheetml/2006/main" count="336" uniqueCount="195">
  <si>
    <t>Požadavek</t>
  </si>
  <si>
    <t>Možná vada</t>
  </si>
  <si>
    <t>Důsledek vady</t>
  </si>
  <si>
    <t>Příčina vady</t>
  </si>
  <si>
    <t>Pravděpodobnost výskytu</t>
  </si>
  <si>
    <t>Prevence</t>
  </si>
  <si>
    <t>Pravděpodobnost odhalení</t>
  </si>
  <si>
    <t>Význam vady</t>
  </si>
  <si>
    <t>Hodnota</t>
  </si>
  <si>
    <t>cpk</t>
  </si>
  <si>
    <t>&lt;=0,33</t>
  </si>
  <si>
    <t>&gt; 1,67</t>
  </si>
  <si>
    <t>&gt; 1,33</t>
  </si>
  <si>
    <t>Z pohledu procesu</t>
  </si>
  <si>
    <t>Důsledek</t>
  </si>
  <si>
    <t>Dopad</t>
  </si>
  <si>
    <t>Z pohledu uživatele</t>
  </si>
  <si>
    <t>Porušení bezpečnosti nebo legislativy</t>
  </si>
  <si>
    <t>Ztráta nebo značné omezení základních funkcí</t>
  </si>
  <si>
    <t>Ztráta nebo značné omezení ostatních funkcí</t>
  </si>
  <si>
    <t>Nepříjemnosti</t>
  </si>
  <si>
    <t>Žádný důsledek</t>
  </si>
  <si>
    <t>Zásadní omezení</t>
  </si>
  <si>
    <t>Velká omezení</t>
  </si>
  <si>
    <t>Střední omezení</t>
  </si>
  <si>
    <t>Malá omezení</t>
  </si>
  <si>
    <t>Bez omezení</t>
  </si>
  <si>
    <t>Druh vady nebo poruchy  není snadno detekovatelný (např. náhodné audity)</t>
  </si>
  <si>
    <r>
      <t xml:space="preserve">Automatická kontrola </t>
    </r>
    <r>
      <rPr>
        <b/>
        <sz val="11"/>
        <color theme="1"/>
        <rFont val="Calibri"/>
        <family val="2"/>
        <charset val="238"/>
        <scheme val="minor"/>
      </rPr>
      <t xml:space="preserve">na konci </t>
    </r>
    <r>
      <rPr>
        <sz val="11"/>
        <color theme="1"/>
        <rFont val="Calibri"/>
        <family val="2"/>
        <charset val="238"/>
        <scheme val="minor"/>
      </rPr>
      <t>procesu, která detekuje chyby a zabraňuje následnému zpracování</t>
    </r>
  </si>
  <si>
    <r>
      <t xml:space="preserve">Detekce </t>
    </r>
    <r>
      <rPr>
        <b/>
        <sz val="11"/>
        <color theme="1"/>
        <rFont val="Calibri"/>
        <family val="2"/>
        <charset val="238"/>
        <scheme val="minor"/>
      </rPr>
      <t xml:space="preserve">na místě měřením </t>
    </r>
    <r>
      <rPr>
        <sz val="11"/>
        <color theme="1"/>
        <rFont val="Calibri"/>
        <family val="2"/>
        <charset val="238"/>
        <scheme val="minor"/>
      </rPr>
      <t>operátorem nebo automaticky hlásí chybu vizuálně/zvukem. Měření při nastavení a na prvním kusu</t>
    </r>
  </si>
  <si>
    <t>Kontrola se neprovádí nebo chyba je neodhalitelná</t>
  </si>
  <si>
    <r>
      <t xml:space="preserve">Selhání odhalení prováděné operátorem vizuálně, hmatem nebo sluchem </t>
    </r>
    <r>
      <rPr>
        <b/>
        <sz val="11"/>
        <color theme="1"/>
        <rFont val="Calibri"/>
        <family val="2"/>
        <charset val="238"/>
        <scheme val="minor"/>
      </rPr>
      <t>na konci</t>
    </r>
    <r>
      <rPr>
        <sz val="11"/>
        <color theme="1"/>
        <rFont val="Calibri"/>
        <family val="2"/>
        <charset val="238"/>
        <scheme val="minor"/>
      </rPr>
      <t xml:space="preserve"> procesu</t>
    </r>
  </si>
  <si>
    <r>
      <rPr>
        <b/>
        <sz val="11"/>
        <color theme="1"/>
        <rFont val="Calibri"/>
        <family val="2"/>
        <charset val="238"/>
        <scheme val="minor"/>
      </rPr>
      <t xml:space="preserve">Subjektivní </t>
    </r>
    <r>
      <rPr>
        <sz val="11"/>
        <color theme="1"/>
        <rFont val="Calibri"/>
        <family val="2"/>
        <charset val="238"/>
        <scheme val="minor"/>
      </rPr>
      <t>detekce operátorem(vizuálně, hmatem, sluchem) na místě, nebo atribut rozhodování ano/ne(např. měrkou) na konci procesu</t>
    </r>
  </si>
  <si>
    <r>
      <t xml:space="preserve">Detekce </t>
    </r>
    <r>
      <rPr>
        <b/>
        <sz val="11"/>
        <color theme="1"/>
        <rFont val="Calibri"/>
        <family val="2"/>
        <charset val="238"/>
        <scheme val="minor"/>
      </rPr>
      <t>měřením</t>
    </r>
    <r>
      <rPr>
        <sz val="11"/>
        <color theme="1"/>
        <rFont val="Calibri"/>
        <family val="2"/>
        <charset val="238"/>
        <scheme val="minor"/>
      </rPr>
      <t xml:space="preserve"> operátorem na konci procesu, nebo atribut. Rozhodování ano/ne (měrka) na místě</t>
    </r>
  </si>
  <si>
    <r>
      <t xml:space="preserve">Automatická kontrola </t>
    </r>
    <r>
      <rPr>
        <b/>
        <sz val="11"/>
        <color theme="1"/>
        <rFont val="Calibri"/>
        <family val="2"/>
        <charset val="238"/>
        <scheme val="minor"/>
      </rPr>
      <t>na místě</t>
    </r>
    <r>
      <rPr>
        <sz val="11"/>
        <color theme="1"/>
        <rFont val="Calibri"/>
        <family val="2"/>
        <charset val="238"/>
        <scheme val="minor"/>
      </rPr>
      <t>, která detekuje chyby a zabraňuje následné operaci</t>
    </r>
  </si>
  <si>
    <t>Automatická kontrola na místě zabraňující výrobu špatných kusů</t>
  </si>
  <si>
    <t>Špatné kusy nemohou být vyrobeny, protože tomu bylo zabráněno při návrhu procesu/výrobku</t>
  </si>
  <si>
    <t>Poka Yoke</t>
  </si>
  <si>
    <t>Měření</t>
  </si>
  <si>
    <t>Vizuální kontrola</t>
  </si>
  <si>
    <t>10 - Bez varování pro uživatele</t>
  </si>
  <si>
    <t>9 - S varováním uživatele</t>
  </si>
  <si>
    <t>8 - Ztráta základních funkcí</t>
  </si>
  <si>
    <t>7 - Omezení základních funkcí</t>
  </si>
  <si>
    <t>6 - Ztráta druhotných funkcí</t>
  </si>
  <si>
    <t>5 - Omezení druhotných funkcí</t>
  </si>
  <si>
    <t>1 - Žádný dopad na uživatele</t>
  </si>
  <si>
    <t>1 - Žádný dopad</t>
  </si>
  <si>
    <r>
      <rPr>
        <b/>
        <sz val="11"/>
        <color theme="1"/>
        <rFont val="Calibri"/>
        <family val="2"/>
        <charset val="238"/>
        <scheme val="minor"/>
      </rPr>
      <t>10:</t>
    </r>
    <r>
      <rPr>
        <sz val="11"/>
        <color theme="1"/>
        <rFont val="Calibri"/>
        <family val="2"/>
        <charset val="238"/>
        <scheme val="minor"/>
      </rPr>
      <t xml:space="preserve"> Téměř nemožná</t>
    </r>
  </si>
  <si>
    <r>
      <rPr>
        <b/>
        <sz val="11"/>
        <color theme="1"/>
        <rFont val="Calibri"/>
        <family val="2"/>
        <charset val="238"/>
        <scheme val="minor"/>
      </rPr>
      <t>9:</t>
    </r>
    <r>
      <rPr>
        <sz val="11"/>
        <color theme="1"/>
        <rFont val="Calibri"/>
        <family val="2"/>
        <charset val="238"/>
        <scheme val="minor"/>
      </rPr>
      <t xml:space="preserve"> Velmi problematická</t>
    </r>
  </si>
  <si>
    <r>
      <rPr>
        <b/>
        <sz val="11"/>
        <color theme="1"/>
        <rFont val="Calibri"/>
        <family val="2"/>
        <charset val="238"/>
        <scheme val="minor"/>
      </rPr>
      <t>8:</t>
    </r>
    <r>
      <rPr>
        <sz val="11"/>
        <color theme="1"/>
        <rFont val="Calibri"/>
        <family val="2"/>
        <charset val="238"/>
        <scheme val="minor"/>
      </rPr>
      <t xml:space="preserve"> Problematická</t>
    </r>
  </si>
  <si>
    <r>
      <rPr>
        <b/>
        <sz val="11"/>
        <color theme="1"/>
        <rFont val="Calibri"/>
        <family val="2"/>
        <charset val="238"/>
        <scheme val="minor"/>
      </rPr>
      <t>7:</t>
    </r>
    <r>
      <rPr>
        <sz val="11"/>
        <color theme="1"/>
        <rFont val="Calibri"/>
        <family val="2"/>
        <charset val="238"/>
        <scheme val="minor"/>
      </rPr>
      <t xml:space="preserve"> Velmi nízká</t>
    </r>
  </si>
  <si>
    <r>
      <rPr>
        <b/>
        <sz val="11"/>
        <color theme="1"/>
        <rFont val="Calibri"/>
        <family val="2"/>
        <charset val="238"/>
        <scheme val="minor"/>
      </rPr>
      <t xml:space="preserve">6: </t>
    </r>
    <r>
      <rPr>
        <sz val="11"/>
        <color theme="1"/>
        <rFont val="Calibri"/>
        <family val="2"/>
        <charset val="238"/>
        <scheme val="minor"/>
      </rPr>
      <t>Nízká</t>
    </r>
  </si>
  <si>
    <r>
      <rPr>
        <b/>
        <sz val="11"/>
        <color theme="1"/>
        <rFont val="Calibri"/>
        <family val="2"/>
        <charset val="238"/>
        <scheme val="minor"/>
      </rPr>
      <t>5:</t>
    </r>
    <r>
      <rPr>
        <sz val="11"/>
        <color theme="1"/>
        <rFont val="Calibri"/>
        <family val="2"/>
        <charset val="238"/>
        <scheme val="minor"/>
      </rPr>
      <t xml:space="preserve"> Střední</t>
    </r>
  </si>
  <si>
    <r>
      <rPr>
        <b/>
        <sz val="11"/>
        <color theme="1"/>
        <rFont val="Calibri"/>
        <family val="2"/>
        <charset val="238"/>
        <scheme val="minor"/>
      </rPr>
      <t>4:</t>
    </r>
    <r>
      <rPr>
        <sz val="11"/>
        <color theme="1"/>
        <rFont val="Calibri"/>
        <family val="2"/>
        <charset val="238"/>
        <scheme val="minor"/>
      </rPr>
      <t xml:space="preserve"> Středně vysoká</t>
    </r>
  </si>
  <si>
    <r>
      <rPr>
        <b/>
        <sz val="11"/>
        <color theme="1"/>
        <rFont val="Calibri"/>
        <family val="2"/>
        <charset val="238"/>
        <scheme val="minor"/>
      </rPr>
      <t>3:</t>
    </r>
    <r>
      <rPr>
        <sz val="11"/>
        <color theme="1"/>
        <rFont val="Calibri"/>
        <family val="2"/>
        <charset val="238"/>
        <scheme val="minor"/>
      </rPr>
      <t xml:space="preserve"> Vysoká</t>
    </r>
  </si>
  <si>
    <r>
      <rPr>
        <b/>
        <sz val="11"/>
        <color theme="1"/>
        <rFont val="Calibri"/>
        <family val="2"/>
        <charset val="238"/>
        <scheme val="minor"/>
      </rPr>
      <t>2:</t>
    </r>
    <r>
      <rPr>
        <sz val="11"/>
        <color theme="1"/>
        <rFont val="Calibri"/>
        <family val="2"/>
        <charset val="238"/>
        <scheme val="minor"/>
      </rPr>
      <t xml:space="preserve"> Velmi vysoká</t>
    </r>
  </si>
  <si>
    <r>
      <rPr>
        <b/>
        <sz val="11"/>
        <color theme="1"/>
        <rFont val="Calibri"/>
        <family val="2"/>
        <charset val="238"/>
        <scheme val="minor"/>
      </rPr>
      <t>1:</t>
    </r>
    <r>
      <rPr>
        <sz val="11"/>
        <color theme="1"/>
        <rFont val="Calibri"/>
        <family val="2"/>
        <charset val="238"/>
        <scheme val="minor"/>
      </rPr>
      <t xml:space="preserve"> Téměř jistá</t>
    </r>
  </si>
  <si>
    <t>PRAVDĚPODOBNOST ODHALENÍ</t>
  </si>
  <si>
    <t>Kritéria odhalení</t>
  </si>
  <si>
    <r>
      <rPr>
        <b/>
        <sz val="12"/>
        <color theme="1"/>
        <rFont val="Calibri"/>
        <family val="2"/>
        <charset val="238"/>
        <scheme val="minor"/>
      </rPr>
      <t>10:</t>
    </r>
    <r>
      <rPr>
        <sz val="12"/>
        <color theme="1"/>
        <rFont val="Calibri"/>
        <family val="2"/>
        <charset val="238"/>
        <scheme val="minor"/>
      </rPr>
      <t xml:space="preserve">  Více než 1 z 10</t>
    </r>
  </si>
  <si>
    <r>
      <rPr>
        <b/>
        <sz val="12"/>
        <color theme="1"/>
        <rFont val="Calibri"/>
        <family val="2"/>
        <charset val="238"/>
        <scheme val="minor"/>
      </rPr>
      <t>9:</t>
    </r>
    <r>
      <rPr>
        <sz val="12"/>
        <color theme="1"/>
        <rFont val="Calibri"/>
        <family val="2"/>
        <charset val="238"/>
        <scheme val="minor"/>
      </rPr>
      <t xml:space="preserve"> 1 z 20</t>
    </r>
  </si>
  <si>
    <r>
      <rPr>
        <b/>
        <sz val="12"/>
        <color theme="1"/>
        <rFont val="Calibri"/>
        <family val="2"/>
        <charset val="238"/>
        <scheme val="minor"/>
      </rPr>
      <t xml:space="preserve">8: </t>
    </r>
    <r>
      <rPr>
        <sz val="12"/>
        <color theme="1"/>
        <rFont val="Calibri"/>
        <family val="2"/>
        <charset val="238"/>
        <scheme val="minor"/>
      </rPr>
      <t xml:space="preserve"> 1 z 50</t>
    </r>
  </si>
  <si>
    <r>
      <rPr>
        <b/>
        <sz val="12"/>
        <color theme="1"/>
        <rFont val="Calibri"/>
        <family val="2"/>
        <charset val="238"/>
        <scheme val="minor"/>
      </rPr>
      <t>7:</t>
    </r>
    <r>
      <rPr>
        <sz val="12"/>
        <color theme="1"/>
        <rFont val="Calibri"/>
        <family val="2"/>
        <charset val="238"/>
        <scheme val="minor"/>
      </rPr>
      <t xml:space="preserve"> 1 ze 100</t>
    </r>
  </si>
  <si>
    <r>
      <rPr>
        <b/>
        <sz val="12"/>
        <color theme="1"/>
        <rFont val="Calibri"/>
        <family val="2"/>
        <charset val="238"/>
        <scheme val="minor"/>
      </rPr>
      <t>6:</t>
    </r>
    <r>
      <rPr>
        <sz val="12"/>
        <color theme="1"/>
        <rFont val="Calibri"/>
        <family val="2"/>
        <charset val="238"/>
        <scheme val="minor"/>
      </rPr>
      <t xml:space="preserve"> 1 z 500</t>
    </r>
  </si>
  <si>
    <r>
      <rPr>
        <b/>
        <sz val="12"/>
        <color theme="1"/>
        <rFont val="Calibri"/>
        <family val="2"/>
        <charset val="238"/>
        <scheme val="minor"/>
      </rPr>
      <t>5:</t>
    </r>
    <r>
      <rPr>
        <sz val="12"/>
        <color theme="1"/>
        <rFont val="Calibri"/>
        <family val="2"/>
        <charset val="238"/>
        <scheme val="minor"/>
      </rPr>
      <t xml:space="preserve"> 1 z 2.000</t>
    </r>
  </si>
  <si>
    <r>
      <rPr>
        <b/>
        <sz val="12"/>
        <color theme="1"/>
        <rFont val="Calibri"/>
        <family val="2"/>
        <charset val="238"/>
        <scheme val="minor"/>
      </rPr>
      <t>4:</t>
    </r>
    <r>
      <rPr>
        <sz val="12"/>
        <color theme="1"/>
        <rFont val="Calibri"/>
        <family val="2"/>
        <charset val="238"/>
        <scheme val="minor"/>
      </rPr>
      <t xml:space="preserve"> 1 z 10.000</t>
    </r>
  </si>
  <si>
    <r>
      <rPr>
        <b/>
        <sz val="12"/>
        <color theme="1"/>
        <rFont val="Calibri"/>
        <family val="2"/>
        <charset val="238"/>
        <scheme val="minor"/>
      </rPr>
      <t>3:</t>
    </r>
    <r>
      <rPr>
        <sz val="12"/>
        <color theme="1"/>
        <rFont val="Calibri"/>
        <family val="2"/>
        <charset val="238"/>
        <scheme val="minor"/>
      </rPr>
      <t xml:space="preserve"> 1 ze 100.000</t>
    </r>
  </si>
  <si>
    <r>
      <rPr>
        <b/>
        <sz val="12"/>
        <color theme="1"/>
        <rFont val="Calibri"/>
        <family val="2"/>
        <charset val="238"/>
        <scheme val="minor"/>
      </rPr>
      <t xml:space="preserve">2: </t>
    </r>
    <r>
      <rPr>
        <sz val="12"/>
        <color theme="1"/>
        <rFont val="Calibri"/>
        <family val="2"/>
        <charset val="238"/>
        <scheme val="minor"/>
      </rPr>
      <t>1 z 1.000.000</t>
    </r>
  </si>
  <si>
    <r>
      <rPr>
        <b/>
        <sz val="12"/>
        <color theme="1"/>
        <rFont val="Calibri"/>
        <family val="2"/>
        <charset val="238"/>
        <scheme val="minor"/>
      </rPr>
      <t>1:</t>
    </r>
    <r>
      <rPr>
        <sz val="12"/>
        <color theme="1"/>
        <rFont val="Calibri"/>
        <family val="2"/>
        <charset val="238"/>
        <scheme val="minor"/>
      </rPr>
      <t xml:space="preserve"> Chyby jsou eliminovány prevencí</t>
    </r>
  </si>
  <si>
    <t>PRAVDĚPODOBNOST VÝSKYTU</t>
  </si>
  <si>
    <t>Z pohledu PROCESU</t>
  </si>
  <si>
    <t>Z pohledu dopadu na UŽIVATELE</t>
  </si>
  <si>
    <t>VÝZNAM VADY</t>
  </si>
  <si>
    <t>Stávající detekce</t>
  </si>
  <si>
    <t>3 - Všimne si více než 50% uživatelů</t>
  </si>
  <si>
    <t>4 - Všimne si více než 75% uživatelů</t>
  </si>
  <si>
    <t>2 - Všimne si více než 25% uživatelů</t>
  </si>
  <si>
    <t>Činnosti - obecně</t>
  </si>
  <si>
    <t>termín</t>
  </si>
  <si>
    <t>řešení</t>
  </si>
  <si>
    <t>RPN - aktuální</t>
  </si>
  <si>
    <t>Příprava grafických podkladů designery</t>
  </si>
  <si>
    <t>Transfer grafik do výrobních dat</t>
  </si>
  <si>
    <t>riziko vzniku splinů a elips</t>
  </si>
  <si>
    <t>riziko sloučení vrstev</t>
  </si>
  <si>
    <t>riziko špatného pojmenování kamene</t>
  </si>
  <si>
    <t>riziko špatné velikosti kamene</t>
  </si>
  <si>
    <t>riziko špatného spacingu</t>
  </si>
  <si>
    <t>riziko špatného počtu kamenů v kusovníku</t>
  </si>
  <si>
    <t>riziko špatného barevného režimu dokumentu (RGB/CMYK)</t>
  </si>
  <si>
    <t>časové riziko CS rozmístění</t>
  </si>
  <si>
    <t>riziko duplicitních kamenů</t>
  </si>
  <si>
    <t>riziko volby neexistujícího kamene</t>
  </si>
  <si>
    <t>riziko nedostatečného výkonu AutoCADu</t>
  </si>
  <si>
    <t>přesné tvary kamenů</t>
  </si>
  <si>
    <t>nemožnost výroby forem</t>
  </si>
  <si>
    <t>každý kámen v samostatné vrstvě</t>
  </si>
  <si>
    <t>nesprávná identifikace kamene</t>
  </si>
  <si>
    <t>nesouhlasící kusovník</t>
  </si>
  <si>
    <t>přesné pojmenování kamene</t>
  </si>
  <si>
    <t>přesný rozměr kamene</t>
  </si>
  <si>
    <t>nesoulad výrobních dat s fyzickým kusovníkem</t>
  </si>
  <si>
    <t>jasně definový spacing</t>
  </si>
  <si>
    <t>trasnfer se neshoduje se schváleným zadáním</t>
  </si>
  <si>
    <t>přesné stanovení kusovníku</t>
  </si>
  <si>
    <t>nesprávně spočítaná kalkulace</t>
  </si>
  <si>
    <t>špatně vyrobená forma</t>
  </si>
  <si>
    <t>plné vytížení CS motivy</t>
  </si>
  <si>
    <t>vysoká cenová nabídka</t>
  </si>
  <si>
    <t>nedostatečně vytížený CS</t>
  </si>
  <si>
    <t>zpomalení procesu stanovení nabídky</t>
  </si>
  <si>
    <t>správné rozmístění kamenů</t>
  </si>
  <si>
    <t>správný kusovník</t>
  </si>
  <si>
    <t>blokace výroby</t>
  </si>
  <si>
    <t>nesprávná volba rozložení panelů</t>
  </si>
  <si>
    <t>jasná definice rozložení panelů v rámci transferu</t>
  </si>
  <si>
    <t>zkreslení kalkulace</t>
  </si>
  <si>
    <t>komplikace výroby a aplikace panelů</t>
  </si>
  <si>
    <t>časové riziko</t>
  </si>
  <si>
    <t>nerealizace projektu</t>
  </si>
  <si>
    <t>rychlé zpracování grafik transferů</t>
  </si>
  <si>
    <t>spolehlivý přenos grafických dat</t>
  </si>
  <si>
    <t>Unifikace grafických programů</t>
  </si>
  <si>
    <t>rychlá příprava dat pro výrobu</t>
  </si>
  <si>
    <t>10 - porušení bezpečnosti</t>
  </si>
  <si>
    <t>9 - porušení legislativy</t>
  </si>
  <si>
    <t>8- zásadní omezení</t>
  </si>
  <si>
    <t>7 - velké omezení</t>
  </si>
  <si>
    <t>6 - střední omezení</t>
  </si>
  <si>
    <t>2 - malé omezení</t>
  </si>
  <si>
    <t>nesprávná tvorba grafických podkladů</t>
  </si>
  <si>
    <t>7: 1 ze 100</t>
  </si>
  <si>
    <t>kontrola správnosti podkladů již u designerů</t>
  </si>
  <si>
    <t>vizuální</t>
  </si>
  <si>
    <t>3: Vysoká</t>
  </si>
  <si>
    <t>kontrola vrstev a porovnání se zadáním</t>
  </si>
  <si>
    <t>Illustrator dokumet musí být v RGB</t>
  </si>
  <si>
    <t>Nekompatibilní barvy v návazných programech</t>
  </si>
  <si>
    <t>Správná geometrie kamenů</t>
  </si>
  <si>
    <t>riziko špatného zvětšení kamene</t>
  </si>
  <si>
    <t>přebarvení kamenů v Illustratoru</t>
  </si>
  <si>
    <t>přebarvení kamenů v Corelu</t>
  </si>
  <si>
    <t>časové riziko ručního přebarvování</t>
  </si>
  <si>
    <t>zpomalení přípravy dat</t>
  </si>
  <si>
    <t>absence knihovny</t>
  </si>
  <si>
    <t>špatně vytvořený dokument v Illustratoru</t>
  </si>
  <si>
    <t>neefektivní tvorba grafických podkladů</t>
  </si>
  <si>
    <t>nesjednocené pojmenovávání</t>
  </si>
  <si>
    <t>absence kontroly v Illustratoru</t>
  </si>
  <si>
    <t>ruční tvorba kusovníku</t>
  </si>
  <si>
    <t>nevyužití potenciálu Illustratoru</t>
  </si>
  <si>
    <t>riziko neefektivního rozdělení panelů</t>
  </si>
  <si>
    <t>nevyužití potenciálu AutoCADu</t>
  </si>
  <si>
    <t>nejednotná workflow</t>
  </si>
  <si>
    <t>nevyužití potenciálu programů</t>
  </si>
  <si>
    <t>nesprávná workflow v AutoCADu</t>
  </si>
  <si>
    <t>nesprávná tvorba výrobních podkladů</t>
  </si>
  <si>
    <t>nevyužití potenciálu Corelu</t>
  </si>
  <si>
    <t>6: 1 z 500</t>
  </si>
  <si>
    <t>9: 1 z 20</t>
  </si>
  <si>
    <t>8:  1 z 50</t>
  </si>
  <si>
    <t>10:  Více než 1 z 10</t>
  </si>
  <si>
    <t>5: 1 z 2.000</t>
  </si>
  <si>
    <t>žádná</t>
  </si>
  <si>
    <t>kontrola správnosti podkladů u technologů</t>
  </si>
  <si>
    <t>rychlé vykonávání repetivních úkonů</t>
  </si>
  <si>
    <t>kontrola kusovníku a porovnání se zadáním</t>
  </si>
  <si>
    <t>kontrola vlastností objektů</t>
  </si>
  <si>
    <t>kontrola počtu druhů kamenů</t>
  </si>
  <si>
    <t>sekání AutoCADu</t>
  </si>
  <si>
    <t>riziko nedostatečného výkonu StrassCADu</t>
  </si>
  <si>
    <t>zpomalení přípravy dat a větší chybovost</t>
  </si>
  <si>
    <t>pomalý program</t>
  </si>
  <si>
    <t>4: Středně vysoká</t>
  </si>
  <si>
    <t>6: Nízká</t>
  </si>
  <si>
    <t>5: Střední</t>
  </si>
  <si>
    <t>1: Téměř jistá</t>
  </si>
  <si>
    <t>2: Velmi vysoká</t>
  </si>
  <si>
    <t>časové riziko používaní 4 programů</t>
  </si>
  <si>
    <t>vytvoření knihovny</t>
  </si>
  <si>
    <t>tvorba skriptu detekující spacing</t>
  </si>
  <si>
    <t>skript na kusovník</t>
  </si>
  <si>
    <t>skript hlídá barevnost</t>
  </si>
  <si>
    <t>jiná workflow nebo program</t>
  </si>
  <si>
    <t>skript hlídající duplicitu</t>
  </si>
  <si>
    <t>plugin/skripty</t>
  </si>
  <si>
    <t>skript na vytvoření panelů</t>
  </si>
  <si>
    <t>zmenšit počet použitých programů</t>
  </si>
  <si>
    <t>zmenšit počet exportů</t>
  </si>
  <si>
    <t>jiná workflow v AutoCADu</t>
  </si>
  <si>
    <t>skript na přebarvení</t>
  </si>
  <si>
    <t>vyřazení StrassCADu z workflow</t>
  </si>
  <si>
    <t>Vyřešeno?</t>
  </si>
  <si>
    <t>riziko deformace dat při exportu (geometrie)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</si>
</sst>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8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0" fillId="2" borderId="13" xfId="0" applyFill="1" applyBorder="1" applyAlignment="1">
      <alignment horizontal="center" vertical="center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1" xfId="0" applyBorder="1" applyAlignment="1">
      <alignment vertical="center" wrapText="1"/>
    </xf>
    <xf numFmtId="0" fontId="0" fillId="0" borderId="25" xfId="0" applyBorder="1"/>
    <xf numFmtId="0" fontId="0" fillId="0" borderId="26" xfId="0" applyBorder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38" xfId="0" applyBorder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9" xfId="0" applyBorder="1"/>
    <xf numFmtId="0" fontId="0" fillId="0" borderId="39" xfId="0" applyBorder="1"/>
    <xf numFmtId="0" fontId="0" fillId="0" borderId="8" xfId="0" applyBorder="1"/>
    <xf numFmtId="0" fontId="6" fillId="0" borderId="2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0" xfId="0" applyFont="1"/>
    <xf numFmtId="0" fontId="7" fillId="0" borderId="24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16" xfId="0" applyFill="1" applyBorder="1" applyAlignment="1">
      <alignment vertical="center"/>
    </xf>
    <xf numFmtId="0" fontId="0" fillId="6" borderId="31" xfId="0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6" borderId="41" xfId="0" applyFont="1" applyFill="1" applyBorder="1" applyAlignment="1">
      <alignment horizontal="center"/>
    </xf>
    <xf numFmtId="0" fontId="1" fillId="6" borderId="3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vertical="center" wrapText="1"/>
    </xf>
    <xf numFmtId="0" fontId="0" fillId="9" borderId="2" xfId="0" applyFill="1" applyBorder="1" applyAlignment="1">
      <alignment vertical="center" wrapText="1"/>
    </xf>
    <xf numFmtId="0" fontId="0" fillId="9" borderId="0" xfId="0" applyFill="1"/>
    <xf numFmtId="0" fontId="0" fillId="9" borderId="0" xfId="0" applyFill="1" applyAlignment="1">
      <alignment horizontal="left"/>
    </xf>
    <xf numFmtId="0" fontId="0" fillId="0" borderId="1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textRotation="90" wrapText="1"/>
    </xf>
    <xf numFmtId="0" fontId="1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3" fillId="0" borderId="42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 textRotation="90"/>
    </xf>
    <xf numFmtId="0" fontId="3" fillId="0" borderId="43" xfId="0" applyFont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top" textRotation="90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6" borderId="23" xfId="0" applyFill="1" applyBorder="1" applyAlignment="1">
      <alignment horizontal="center" vertical="center" wrapText="1"/>
    </xf>
    <xf numFmtId="0" fontId="0" fillId="6" borderId="32" xfId="0" applyFill="1" applyBorder="1" applyAlignment="1">
      <alignment horizontal="center" vertical="center" wrapText="1"/>
    </xf>
    <xf numFmtId="0" fontId="0" fillId="6" borderId="33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7" borderId="8" xfId="0" applyFont="1" applyFill="1" applyBorder="1" applyAlignment="1">
      <alignment horizontal="center" vertical="center" textRotation="90"/>
    </xf>
    <xf numFmtId="0" fontId="2" fillId="7" borderId="9" xfId="0" applyFont="1" applyFill="1" applyBorder="1" applyAlignment="1">
      <alignment horizontal="center" vertical="center" textRotation="90"/>
    </xf>
    <xf numFmtId="0" fontId="2" fillId="7" borderId="19" xfId="0" applyFont="1" applyFill="1" applyBorder="1" applyAlignment="1">
      <alignment horizontal="center" vertical="center" textRotation="90"/>
    </xf>
    <xf numFmtId="0" fontId="2" fillId="6" borderId="10" xfId="0" applyFont="1" applyFill="1" applyBorder="1" applyAlignment="1">
      <alignment horizontal="center" vertical="center" textRotation="90"/>
    </xf>
    <xf numFmtId="0" fontId="2" fillId="6" borderId="17" xfId="0" applyFont="1" applyFill="1" applyBorder="1" applyAlignment="1">
      <alignment horizontal="center" vertical="center" textRotation="90"/>
    </xf>
    <xf numFmtId="0" fontId="2" fillId="6" borderId="11" xfId="0" applyFont="1" applyFill="1" applyBorder="1" applyAlignment="1">
      <alignment horizontal="center" vertical="center" textRotation="90"/>
    </xf>
    <xf numFmtId="0" fontId="2" fillId="8" borderId="17" xfId="0" applyFont="1" applyFill="1" applyBorder="1" applyAlignment="1">
      <alignment horizontal="center" vertical="center" textRotation="90"/>
    </xf>
    <xf numFmtId="0" fontId="2" fillId="8" borderId="18" xfId="0" applyFont="1" applyFill="1" applyBorder="1" applyAlignment="1">
      <alignment horizontal="center" vertical="center" textRotation="90"/>
    </xf>
    <xf numFmtId="0" fontId="5" fillId="0" borderId="0" xfId="0" applyFont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107112</xdr:colOff>
      <xdr:row>35</xdr:row>
      <xdr:rowOff>84366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4983912" cy="6302286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23"/>
  <sheetViews>
    <sheetView tabSelected="1" zoomScale="80" zoomScaleNormal="80" workbookViewId="0">
      <selection activeCell="T1" sqref="T1:T2"/>
    </sheetView>
  </sheetViews>
  <sheetFormatPr defaultRowHeight="42" customHeight="1" x14ac:dyDescent="0.35"/>
  <cols>
    <col min="2" max="2" width="19.54296875" style="60" customWidth="1"/>
    <col min="3" max="3" width="23.6328125" style="61" customWidth="1"/>
    <col min="4" max="4" width="18.6328125" style="60" customWidth="1"/>
    <col min="5" max="5" width="36.90625" customWidth="1"/>
    <col min="6" max="6" width="38.36328125" customWidth="1"/>
    <col min="7" max="7" width="7.54296875" customWidth="1"/>
    <col min="8" max="8" width="5.08984375" customWidth="1"/>
    <col min="9" max="9" width="5.54296875" customWidth="1"/>
    <col min="10" max="10" width="25.54296875" style="44" customWidth="1"/>
    <col min="11" max="11" width="25.36328125" customWidth="1"/>
    <col min="12" max="12" width="5.54296875" customWidth="1"/>
    <col min="13" max="13" width="34.90625" customWidth="1"/>
    <col min="14" max="14" width="29.6328125" style="43" customWidth="1"/>
    <col min="15" max="15" width="25.08984375" customWidth="1"/>
    <col min="16" max="16" width="4.453125" customWidth="1"/>
    <col min="17" max="17" width="9.08984375" customWidth="1"/>
    <col min="18" max="18" width="37" customWidth="1"/>
    <col min="19" max="19" width="16.1796875" customWidth="1"/>
    <col min="20" max="20" width="6.26953125" customWidth="1"/>
  </cols>
  <sheetData>
    <row r="1" spans="1:20" ht="42" customHeight="1" x14ac:dyDescent="0.35">
      <c r="A1" s="69" t="s">
        <v>78</v>
      </c>
      <c r="B1" s="77" t="s">
        <v>0</v>
      </c>
      <c r="C1" s="78" t="s">
        <v>1</v>
      </c>
      <c r="D1" s="79" t="s">
        <v>2</v>
      </c>
      <c r="E1" s="80" t="s">
        <v>7</v>
      </c>
      <c r="F1" s="80"/>
      <c r="G1" s="76" t="s">
        <v>8</v>
      </c>
      <c r="H1" s="52"/>
      <c r="I1" s="52"/>
      <c r="J1" s="68" t="s">
        <v>3</v>
      </c>
      <c r="K1" s="74" t="s">
        <v>4</v>
      </c>
      <c r="L1" s="75" t="s">
        <v>8</v>
      </c>
      <c r="M1" s="64" t="s">
        <v>5</v>
      </c>
      <c r="N1" s="64" t="s">
        <v>74</v>
      </c>
      <c r="O1" s="67" t="s">
        <v>6</v>
      </c>
      <c r="P1" s="65" t="s">
        <v>8</v>
      </c>
      <c r="Q1" s="66" t="s">
        <v>81</v>
      </c>
      <c r="R1" s="64" t="s">
        <v>80</v>
      </c>
      <c r="S1" s="64" t="s">
        <v>79</v>
      </c>
      <c r="T1" s="63" t="s">
        <v>193</v>
      </c>
    </row>
    <row r="2" spans="1:20" ht="42" customHeight="1" x14ac:dyDescent="0.35">
      <c r="A2" s="70"/>
      <c r="B2" s="77"/>
      <c r="C2" s="78"/>
      <c r="D2" s="79"/>
      <c r="E2" s="53" t="s">
        <v>16</v>
      </c>
      <c r="F2" s="53" t="s">
        <v>13</v>
      </c>
      <c r="G2" s="76"/>
      <c r="H2" s="52"/>
      <c r="I2" s="52"/>
      <c r="J2" s="68"/>
      <c r="K2" s="74"/>
      <c r="L2" s="75"/>
      <c r="M2" s="64"/>
      <c r="N2" s="64"/>
      <c r="O2" s="67"/>
      <c r="P2" s="65"/>
      <c r="Q2" s="66"/>
      <c r="R2" s="64"/>
      <c r="S2" s="64"/>
      <c r="T2" s="63"/>
    </row>
    <row r="3" spans="1:20" s="15" customFormat="1" ht="42" customHeight="1" x14ac:dyDescent="0.35">
      <c r="A3" s="72" t="s">
        <v>82</v>
      </c>
      <c r="B3" s="54" t="s">
        <v>95</v>
      </c>
      <c r="C3" s="55" t="s">
        <v>84</v>
      </c>
      <c r="D3" s="56" t="s">
        <v>96</v>
      </c>
      <c r="E3" s="48" t="s">
        <v>76</v>
      </c>
      <c r="F3" s="47" t="s">
        <v>129</v>
      </c>
      <c r="G3" s="48">
        <f>MAX(H3:I3)</f>
        <v>6</v>
      </c>
      <c r="H3" s="50">
        <f>VLOOKUP($E3,'Význam vady'!$B$4:$C$13,2,FALSE)</f>
        <v>4</v>
      </c>
      <c r="I3" s="50">
        <f>VLOOKUP($F3,'Význam vady'!$D$4:$F$13,3,FALSE)</f>
        <v>6</v>
      </c>
      <c r="J3" s="49" t="s">
        <v>131</v>
      </c>
      <c r="K3" s="50" t="s">
        <v>160</v>
      </c>
      <c r="L3" s="50">
        <f>VLOOKUP($K3,'Pravděpodobnost výskytu'!$B$4:$C$13,2,FALSE)</f>
        <v>9</v>
      </c>
      <c r="M3" s="49" t="s">
        <v>133</v>
      </c>
      <c r="N3" s="49" t="s">
        <v>134</v>
      </c>
      <c r="O3" s="51" t="s">
        <v>135</v>
      </c>
      <c r="P3" s="51">
        <f>VLOOKUP($O3,'Pravděpodobnost odhalení'!$D$4:$E$13,2,FALSE)</f>
        <v>3</v>
      </c>
      <c r="Q3" s="11">
        <f>$G3*$L3*$P3</f>
        <v>162</v>
      </c>
      <c r="R3" s="45" t="s">
        <v>180</v>
      </c>
      <c r="S3" s="46">
        <v>46034</v>
      </c>
      <c r="T3" s="62" t="b">
        <v>1</v>
      </c>
    </row>
    <row r="4" spans="1:20" s="15" customFormat="1" ht="42" customHeight="1" x14ac:dyDescent="0.35">
      <c r="A4" s="72"/>
      <c r="B4" s="54" t="s">
        <v>97</v>
      </c>
      <c r="C4" s="55" t="s">
        <v>85</v>
      </c>
      <c r="D4" s="57" t="s">
        <v>98</v>
      </c>
      <c r="E4" s="48" t="s">
        <v>43</v>
      </c>
      <c r="F4" s="47" t="s">
        <v>129</v>
      </c>
      <c r="G4" s="48">
        <f t="shared" ref="G4:G23" si="0">MAX(H4:I4)</f>
        <v>7</v>
      </c>
      <c r="H4" s="50">
        <f>VLOOKUP($E4,'Význam vady'!$B$4:$C$13,2,FALSE)</f>
        <v>7</v>
      </c>
      <c r="I4" s="50">
        <f>VLOOKUP($F4,'Význam vady'!$D$4:$F$13,3,FALSE)</f>
        <v>6</v>
      </c>
      <c r="J4" s="49" t="s">
        <v>131</v>
      </c>
      <c r="K4" s="50" t="s">
        <v>132</v>
      </c>
      <c r="L4" s="50">
        <f>VLOOKUP($K4,'Pravděpodobnost výskytu'!$B$4:$C$13,2,FALSE)</f>
        <v>7</v>
      </c>
      <c r="M4" s="49" t="s">
        <v>133</v>
      </c>
      <c r="N4" s="49" t="s">
        <v>136</v>
      </c>
      <c r="O4" s="51" t="s">
        <v>135</v>
      </c>
      <c r="P4" s="51">
        <f>VLOOKUP($O4,'Pravděpodobnost odhalení'!$D$4:$E$13,2,FALSE)</f>
        <v>3</v>
      </c>
      <c r="Q4" s="11">
        <f t="shared" ref="Q4:Q23" si="1">$G4*$L4*$P4</f>
        <v>147</v>
      </c>
      <c r="R4" s="45" t="s">
        <v>180</v>
      </c>
      <c r="S4" s="46">
        <v>46034</v>
      </c>
      <c r="T4" s="62" t="b">
        <v>1</v>
      </c>
    </row>
    <row r="5" spans="1:20" s="15" customFormat="1" ht="42" customHeight="1" x14ac:dyDescent="0.35">
      <c r="A5" s="72"/>
      <c r="B5" s="55" t="s">
        <v>100</v>
      </c>
      <c r="C5" s="55" t="s">
        <v>86</v>
      </c>
      <c r="D5" s="57" t="s">
        <v>99</v>
      </c>
      <c r="E5" s="48" t="s">
        <v>41</v>
      </c>
      <c r="F5" s="47" t="s">
        <v>127</v>
      </c>
      <c r="G5" s="48">
        <f t="shared" si="0"/>
        <v>9</v>
      </c>
      <c r="H5" s="50">
        <f>VLOOKUP($E5,'Význam vady'!$B$4:$C$13,2,FALSE)</f>
        <v>9</v>
      </c>
      <c r="I5" s="50">
        <f>VLOOKUP($F5,'Význam vady'!$D$4:$F$13,3,FALSE)</f>
        <v>8</v>
      </c>
      <c r="J5" s="49" t="s">
        <v>148</v>
      </c>
      <c r="K5" s="50" t="s">
        <v>132</v>
      </c>
      <c r="L5" s="50">
        <f>VLOOKUP($K5,'Pravděpodobnost výskytu'!$B$4:$C$13,2,FALSE)</f>
        <v>7</v>
      </c>
      <c r="M5" s="49" t="s">
        <v>133</v>
      </c>
      <c r="N5" s="49" t="s">
        <v>136</v>
      </c>
      <c r="O5" s="51" t="s">
        <v>135</v>
      </c>
      <c r="P5" s="51">
        <f>VLOOKUP($O5,'Pravděpodobnost odhalení'!$D$4:$E$13,2,FALSE)</f>
        <v>3</v>
      </c>
      <c r="Q5" s="11">
        <f t="shared" si="1"/>
        <v>189</v>
      </c>
      <c r="R5" s="45" t="s">
        <v>180</v>
      </c>
      <c r="S5" s="46">
        <v>46034</v>
      </c>
      <c r="T5" s="62" t="b">
        <v>1</v>
      </c>
    </row>
    <row r="6" spans="1:20" s="15" customFormat="1" ht="42" customHeight="1" x14ac:dyDescent="0.35">
      <c r="A6" s="72"/>
      <c r="B6" s="54" t="s">
        <v>101</v>
      </c>
      <c r="C6" s="55" t="s">
        <v>87</v>
      </c>
      <c r="D6" s="56" t="s">
        <v>102</v>
      </c>
      <c r="E6" s="48" t="s">
        <v>41</v>
      </c>
      <c r="F6" s="47" t="s">
        <v>127</v>
      </c>
      <c r="G6" s="48">
        <f t="shared" si="0"/>
        <v>9</v>
      </c>
      <c r="H6" s="50">
        <f>VLOOKUP($E6,'Význam vady'!$B$4:$C$13,2,FALSE)</f>
        <v>9</v>
      </c>
      <c r="I6" s="50">
        <f>VLOOKUP($F6,'Význam vady'!$D$4:$F$13,3,FALSE)</f>
        <v>8</v>
      </c>
      <c r="J6" s="49" t="s">
        <v>145</v>
      </c>
      <c r="K6" s="50" t="s">
        <v>132</v>
      </c>
      <c r="L6" s="50">
        <f>VLOOKUP($K6,'Pravděpodobnost výskytu'!$B$4:$C$13,2,FALSE)</f>
        <v>7</v>
      </c>
      <c r="M6" s="49" t="s">
        <v>133</v>
      </c>
      <c r="N6" s="49" t="s">
        <v>134</v>
      </c>
      <c r="O6" s="51" t="s">
        <v>174</v>
      </c>
      <c r="P6" s="51">
        <f>VLOOKUP($O6,'Pravděpodobnost odhalení'!$D$4:$E$13,2,FALSE)</f>
        <v>4</v>
      </c>
      <c r="Q6" s="11">
        <f t="shared" si="1"/>
        <v>252</v>
      </c>
      <c r="R6" s="45" t="s">
        <v>180</v>
      </c>
      <c r="S6" s="46">
        <v>46034</v>
      </c>
      <c r="T6" s="62" t="b">
        <v>1</v>
      </c>
    </row>
    <row r="7" spans="1:20" s="15" customFormat="1" ht="42" customHeight="1" x14ac:dyDescent="0.35">
      <c r="A7" s="72"/>
      <c r="B7" s="54" t="s">
        <v>103</v>
      </c>
      <c r="C7" s="55" t="s">
        <v>88</v>
      </c>
      <c r="D7" s="56" t="s">
        <v>104</v>
      </c>
      <c r="E7" s="48" t="s">
        <v>41</v>
      </c>
      <c r="F7" s="47" t="s">
        <v>126</v>
      </c>
      <c r="G7" s="48">
        <f t="shared" si="0"/>
        <v>9</v>
      </c>
      <c r="H7" s="50">
        <f>VLOOKUP($E7,'Význam vady'!$B$4:$C$13,2,FALSE)</f>
        <v>9</v>
      </c>
      <c r="I7" s="50">
        <f>VLOOKUP($F7,'Význam vady'!$D$4:$F$13,3,FALSE)</f>
        <v>9</v>
      </c>
      <c r="J7" s="49" t="s">
        <v>131</v>
      </c>
      <c r="K7" s="50" t="s">
        <v>132</v>
      </c>
      <c r="L7" s="50">
        <f>VLOOKUP($K7,'Pravděpodobnost výskytu'!$B$4:$C$13,2,FALSE)</f>
        <v>7</v>
      </c>
      <c r="M7" s="49" t="s">
        <v>133</v>
      </c>
      <c r="N7" s="49" t="s">
        <v>134</v>
      </c>
      <c r="O7" s="51" t="s">
        <v>175</v>
      </c>
      <c r="P7" s="51">
        <f>VLOOKUP($O7,'Pravděpodobnost odhalení'!$D$4:$E$13,2,FALSE)</f>
        <v>6</v>
      </c>
      <c r="Q7" s="11">
        <f t="shared" si="1"/>
        <v>378</v>
      </c>
      <c r="R7" s="45" t="s">
        <v>181</v>
      </c>
      <c r="S7" s="46">
        <v>46143</v>
      </c>
      <c r="T7" s="62" t="b">
        <v>0</v>
      </c>
    </row>
    <row r="8" spans="1:20" s="15" customFormat="1" ht="42" customHeight="1" x14ac:dyDescent="0.35">
      <c r="A8" s="72"/>
      <c r="B8" s="54" t="s">
        <v>105</v>
      </c>
      <c r="C8" s="55" t="s">
        <v>89</v>
      </c>
      <c r="D8" s="56" t="s">
        <v>106</v>
      </c>
      <c r="E8" s="48" t="s">
        <v>40</v>
      </c>
      <c r="F8" s="47" t="s">
        <v>127</v>
      </c>
      <c r="G8" s="48">
        <f t="shared" si="0"/>
        <v>10</v>
      </c>
      <c r="H8" s="50">
        <f>VLOOKUP($E8,'Význam vady'!$B$4:$C$13,2,FALSE)</f>
        <v>10</v>
      </c>
      <c r="I8" s="50">
        <f>VLOOKUP($F8,'Význam vady'!$D$4:$F$13,3,FALSE)</f>
        <v>8</v>
      </c>
      <c r="J8" s="49" t="s">
        <v>150</v>
      </c>
      <c r="K8" s="50" t="s">
        <v>132</v>
      </c>
      <c r="L8" s="50">
        <f>VLOOKUP($K8,'Pravděpodobnost výskytu'!$B$4:$C$13,2,FALSE)</f>
        <v>7</v>
      </c>
      <c r="M8" s="49" t="s">
        <v>133</v>
      </c>
      <c r="N8" s="49" t="s">
        <v>167</v>
      </c>
      <c r="O8" s="51" t="s">
        <v>176</v>
      </c>
      <c r="P8" s="51">
        <f>VLOOKUP($O8,'Pravděpodobnost odhalení'!$D$4:$E$13,2,FALSE)</f>
        <v>5</v>
      </c>
      <c r="Q8" s="11">
        <f t="shared" si="1"/>
        <v>350</v>
      </c>
      <c r="R8" s="45" t="s">
        <v>182</v>
      </c>
      <c r="S8" s="46">
        <v>45992</v>
      </c>
      <c r="T8" s="62" t="b">
        <v>1</v>
      </c>
    </row>
    <row r="9" spans="1:20" s="15" customFormat="1" ht="42" customHeight="1" x14ac:dyDescent="0.35">
      <c r="A9" s="72"/>
      <c r="B9" s="54" t="s">
        <v>137</v>
      </c>
      <c r="C9" s="55" t="s">
        <v>90</v>
      </c>
      <c r="D9" s="56" t="s">
        <v>138</v>
      </c>
      <c r="E9" s="48" t="s">
        <v>45</v>
      </c>
      <c r="F9" s="47" t="s">
        <v>128</v>
      </c>
      <c r="G9" s="48">
        <f t="shared" si="0"/>
        <v>7</v>
      </c>
      <c r="H9" s="50">
        <f>VLOOKUP($E9,'Význam vady'!$B$4:$C$13,2,FALSE)</f>
        <v>5</v>
      </c>
      <c r="I9" s="50">
        <f>VLOOKUP($F9,'Význam vady'!$D$4:$F$13,3,FALSE)</f>
        <v>7</v>
      </c>
      <c r="J9" s="49" t="s">
        <v>146</v>
      </c>
      <c r="K9" s="50" t="s">
        <v>161</v>
      </c>
      <c r="L9" s="50">
        <f>VLOOKUP($K9,'Pravděpodobnost výskytu'!$B$4:$C$13,2,FALSE)</f>
        <v>8</v>
      </c>
      <c r="M9" s="49" t="s">
        <v>133</v>
      </c>
      <c r="N9" s="49" t="s">
        <v>134</v>
      </c>
      <c r="O9" s="51" t="s">
        <v>135</v>
      </c>
      <c r="P9" s="51">
        <f>VLOOKUP($O9,'Pravděpodobnost odhalení'!$D$4:$E$13,2,FALSE)</f>
        <v>3</v>
      </c>
      <c r="Q9" s="11">
        <f t="shared" si="1"/>
        <v>168</v>
      </c>
      <c r="R9" s="45" t="s">
        <v>183</v>
      </c>
      <c r="S9" s="46">
        <v>46327</v>
      </c>
      <c r="T9" s="62" t="b">
        <v>1</v>
      </c>
    </row>
    <row r="10" spans="1:20" s="15" customFormat="1" ht="42" customHeight="1" x14ac:dyDescent="0.35">
      <c r="A10" s="72"/>
      <c r="B10" s="55" t="s">
        <v>108</v>
      </c>
      <c r="C10" s="55" t="s">
        <v>91</v>
      </c>
      <c r="D10" s="57" t="s">
        <v>111</v>
      </c>
      <c r="E10" s="48" t="s">
        <v>40</v>
      </c>
      <c r="F10" s="47" t="s">
        <v>128</v>
      </c>
      <c r="G10" s="48">
        <f t="shared" si="0"/>
        <v>10</v>
      </c>
      <c r="H10" s="50">
        <f>VLOOKUP($E10,'Význam vady'!$B$4:$C$13,2,FALSE)</f>
        <v>10</v>
      </c>
      <c r="I10" s="50">
        <f>VLOOKUP($F10,'Význam vady'!$D$4:$F$13,3,FALSE)</f>
        <v>7</v>
      </c>
      <c r="J10" s="49" t="s">
        <v>147</v>
      </c>
      <c r="K10" s="50" t="s">
        <v>162</v>
      </c>
      <c r="L10" s="50">
        <f>VLOOKUP($K10,'Pravděpodobnost výskytu'!$B$4:$C$13,2,FALSE)</f>
        <v>10</v>
      </c>
      <c r="M10" s="49" t="s">
        <v>166</v>
      </c>
      <c r="N10" s="49" t="s">
        <v>134</v>
      </c>
      <c r="O10" s="51" t="s">
        <v>177</v>
      </c>
      <c r="P10" s="51">
        <f>VLOOKUP($O10,'Pravděpodobnost odhalení'!$D$4:$E$13,2,FALSE)</f>
        <v>1</v>
      </c>
      <c r="Q10" s="11">
        <f t="shared" si="1"/>
        <v>100</v>
      </c>
      <c r="R10" s="45" t="s">
        <v>184</v>
      </c>
      <c r="S10" s="46">
        <v>46174</v>
      </c>
      <c r="T10" s="62" t="b">
        <v>0</v>
      </c>
    </row>
    <row r="11" spans="1:20" s="15" customFormat="1" ht="42" customHeight="1" x14ac:dyDescent="0.35">
      <c r="A11" s="72"/>
      <c r="B11" s="55" t="s">
        <v>108</v>
      </c>
      <c r="C11" s="55" t="s">
        <v>110</v>
      </c>
      <c r="D11" s="57" t="s">
        <v>109</v>
      </c>
      <c r="E11" s="48" t="s">
        <v>40</v>
      </c>
      <c r="F11" s="47" t="s">
        <v>128</v>
      </c>
      <c r="G11" s="48">
        <f t="shared" si="0"/>
        <v>10</v>
      </c>
      <c r="H11" s="50">
        <f>VLOOKUP($E11,'Význam vady'!$B$4:$C$13,2,FALSE)</f>
        <v>10</v>
      </c>
      <c r="I11" s="50">
        <f>VLOOKUP($F11,'Význam vady'!$D$4:$F$13,3,FALSE)</f>
        <v>7</v>
      </c>
      <c r="J11" s="49" t="s">
        <v>131</v>
      </c>
      <c r="K11" s="50" t="s">
        <v>159</v>
      </c>
      <c r="L11" s="50">
        <f>VLOOKUP($K11,'Pravděpodobnost výskytu'!$B$4:$C$13,2,FALSE)</f>
        <v>6</v>
      </c>
      <c r="M11" s="49" t="s">
        <v>133</v>
      </c>
      <c r="N11" s="49" t="s">
        <v>134</v>
      </c>
      <c r="O11" s="51" t="s">
        <v>135</v>
      </c>
      <c r="P11" s="51">
        <f>VLOOKUP($O11,'Pravděpodobnost odhalení'!$D$4:$E$13,2,FALSE)</f>
        <v>3</v>
      </c>
      <c r="Q11" s="11">
        <f t="shared" si="1"/>
        <v>180</v>
      </c>
      <c r="R11" s="45" t="s">
        <v>184</v>
      </c>
      <c r="S11" s="46">
        <v>46174</v>
      </c>
      <c r="T11" s="62" t="b">
        <v>0</v>
      </c>
    </row>
    <row r="12" spans="1:20" s="15" customFormat="1" ht="42" customHeight="1" x14ac:dyDescent="0.35">
      <c r="A12" s="72"/>
      <c r="B12" s="58" t="s">
        <v>112</v>
      </c>
      <c r="C12" s="55" t="s">
        <v>92</v>
      </c>
      <c r="D12" s="57" t="s">
        <v>96</v>
      </c>
      <c r="E12" s="48" t="s">
        <v>76</v>
      </c>
      <c r="F12" s="47" t="s">
        <v>129</v>
      </c>
      <c r="G12" s="48">
        <f t="shared" si="0"/>
        <v>6</v>
      </c>
      <c r="H12" s="50">
        <f>VLOOKUP($E12,'Význam vady'!$B$4:$C$13,2,FALSE)</f>
        <v>4</v>
      </c>
      <c r="I12" s="50">
        <f>VLOOKUP($F12,'Význam vady'!$D$4:$F$13,3,FALSE)</f>
        <v>6</v>
      </c>
      <c r="J12" s="49" t="s">
        <v>149</v>
      </c>
      <c r="K12" s="50" t="s">
        <v>161</v>
      </c>
      <c r="L12" s="50">
        <f>VLOOKUP($K12,'Pravděpodobnost výskytu'!$B$4:$C$13,2,FALSE)</f>
        <v>8</v>
      </c>
      <c r="M12" s="49" t="s">
        <v>133</v>
      </c>
      <c r="N12" s="49" t="s">
        <v>134</v>
      </c>
      <c r="O12" s="51" t="s">
        <v>176</v>
      </c>
      <c r="P12" s="51">
        <f>VLOOKUP($O12,'Pravděpodobnost odhalení'!$D$4:$E$13,2,FALSE)</f>
        <v>5</v>
      </c>
      <c r="Q12" s="11">
        <f t="shared" si="1"/>
        <v>240</v>
      </c>
      <c r="R12" s="45" t="s">
        <v>185</v>
      </c>
      <c r="S12" s="46">
        <v>46143</v>
      </c>
      <c r="T12" s="62" t="b">
        <v>0</v>
      </c>
    </row>
    <row r="13" spans="1:20" s="15" customFormat="1" ht="42" customHeight="1" x14ac:dyDescent="0.35">
      <c r="A13" s="72"/>
      <c r="B13" s="58" t="s">
        <v>113</v>
      </c>
      <c r="C13" s="55" t="s">
        <v>93</v>
      </c>
      <c r="D13" s="57" t="s">
        <v>114</v>
      </c>
      <c r="E13" s="48" t="s">
        <v>41</v>
      </c>
      <c r="F13" s="47" t="s">
        <v>126</v>
      </c>
      <c r="G13" s="48">
        <f t="shared" si="0"/>
        <v>9</v>
      </c>
      <c r="H13" s="50">
        <f>VLOOKUP($E13,'Význam vady'!$B$4:$C$13,2,FALSE)</f>
        <v>9</v>
      </c>
      <c r="I13" s="50">
        <f>VLOOKUP($F13,'Význam vady'!$D$4:$F$13,3,FALSE)</f>
        <v>9</v>
      </c>
      <c r="J13" s="49" t="s">
        <v>150</v>
      </c>
      <c r="K13" s="50" t="s">
        <v>163</v>
      </c>
      <c r="L13" s="50">
        <f>VLOOKUP($K13,'Pravděpodobnost výskytu'!$B$4:$C$13,2,FALSE)</f>
        <v>5</v>
      </c>
      <c r="M13" s="49" t="s">
        <v>133</v>
      </c>
      <c r="N13" s="49" t="s">
        <v>167</v>
      </c>
      <c r="O13" s="51" t="s">
        <v>176</v>
      </c>
      <c r="P13" s="51">
        <f>VLOOKUP($O13,'Pravděpodobnost odhalení'!$D$4:$E$13,2,FALSE)</f>
        <v>5</v>
      </c>
      <c r="Q13" s="11">
        <f t="shared" si="1"/>
        <v>225</v>
      </c>
      <c r="R13" s="45" t="s">
        <v>180</v>
      </c>
      <c r="S13" s="46">
        <v>46034</v>
      </c>
      <c r="T13" s="62" t="b">
        <v>1</v>
      </c>
    </row>
    <row r="14" spans="1:20" s="15" customFormat="1" ht="42" customHeight="1" thickBot="1" x14ac:dyDescent="0.4">
      <c r="A14" s="73"/>
      <c r="B14" s="58" t="s">
        <v>121</v>
      </c>
      <c r="C14" s="55" t="s">
        <v>119</v>
      </c>
      <c r="D14" s="57" t="s">
        <v>120</v>
      </c>
      <c r="E14" s="48" t="s">
        <v>41</v>
      </c>
      <c r="F14" s="47" t="s">
        <v>126</v>
      </c>
      <c r="G14" s="48">
        <f t="shared" si="0"/>
        <v>9</v>
      </c>
      <c r="H14" s="50">
        <f>VLOOKUP($E14,'Význam vady'!$B$4:$C$13,2,FALSE)</f>
        <v>9</v>
      </c>
      <c r="I14" s="50">
        <f>VLOOKUP($F14,'Význam vady'!$D$4:$F$13,3,FALSE)</f>
        <v>9</v>
      </c>
      <c r="J14" s="49" t="s">
        <v>151</v>
      </c>
      <c r="K14" s="50" t="s">
        <v>161</v>
      </c>
      <c r="L14" s="50">
        <f>VLOOKUP($K14,'Pravděpodobnost výskytu'!$B$4:$C$13,2,FALSE)</f>
        <v>8</v>
      </c>
      <c r="M14" s="49" t="s">
        <v>166</v>
      </c>
      <c r="N14" s="49" t="s">
        <v>134</v>
      </c>
      <c r="O14" s="51" t="s">
        <v>135</v>
      </c>
      <c r="P14" s="51">
        <f>VLOOKUP($O14,'Pravděpodobnost odhalení'!$D$4:$E$13,2,FALSE)</f>
        <v>3</v>
      </c>
      <c r="Q14" s="11">
        <f t="shared" si="1"/>
        <v>216</v>
      </c>
      <c r="R14" s="45" t="s">
        <v>186</v>
      </c>
      <c r="S14" s="46">
        <v>46054</v>
      </c>
      <c r="T14" s="62" t="b">
        <v>1</v>
      </c>
    </row>
    <row r="15" spans="1:20" s="15" customFormat="1" ht="42" customHeight="1" x14ac:dyDescent="0.35">
      <c r="A15" s="71" t="s">
        <v>83</v>
      </c>
      <c r="B15" s="58" t="s">
        <v>116</v>
      </c>
      <c r="C15" s="55" t="s">
        <v>152</v>
      </c>
      <c r="D15" s="56" t="s">
        <v>117</v>
      </c>
      <c r="E15" s="48" t="s">
        <v>40</v>
      </c>
      <c r="F15" s="47" t="s">
        <v>126</v>
      </c>
      <c r="G15" s="48">
        <f t="shared" si="0"/>
        <v>10</v>
      </c>
      <c r="H15" s="50">
        <f>VLOOKUP($E15,'Význam vady'!$B$4:$C$13,2,FALSE)</f>
        <v>10</v>
      </c>
      <c r="I15" s="50">
        <f>VLOOKUP($F15,'Význam vady'!$D$4:$F$13,3,FALSE)</f>
        <v>9</v>
      </c>
      <c r="J15" s="49" t="s">
        <v>154</v>
      </c>
      <c r="K15" s="50" t="s">
        <v>160</v>
      </c>
      <c r="L15" s="50">
        <f>VLOOKUP($K15,'Pravděpodobnost výskytu'!$B$4:$C$13,2,FALSE)</f>
        <v>9</v>
      </c>
      <c r="M15" s="49" t="s">
        <v>165</v>
      </c>
      <c r="N15" s="49" t="s">
        <v>134</v>
      </c>
      <c r="O15" s="51" t="s">
        <v>135</v>
      </c>
      <c r="P15" s="51">
        <f>VLOOKUP($O15,'Pravděpodobnost odhalení'!$D$4:$E$13,2,FALSE)</f>
        <v>3</v>
      </c>
      <c r="Q15" s="11">
        <f t="shared" si="1"/>
        <v>270</v>
      </c>
      <c r="R15" s="45" t="s">
        <v>187</v>
      </c>
      <c r="S15" s="46">
        <v>46113</v>
      </c>
      <c r="T15" s="62" t="b">
        <v>0</v>
      </c>
    </row>
    <row r="16" spans="1:20" s="15" customFormat="1" ht="42" customHeight="1" x14ac:dyDescent="0.35">
      <c r="A16" s="72"/>
      <c r="B16" s="55" t="s">
        <v>122</v>
      </c>
      <c r="C16" s="55" t="s">
        <v>194</v>
      </c>
      <c r="D16" s="56" t="s">
        <v>96</v>
      </c>
      <c r="E16" s="48" t="s">
        <v>76</v>
      </c>
      <c r="F16" s="47" t="s">
        <v>127</v>
      </c>
      <c r="G16" s="48">
        <f t="shared" si="0"/>
        <v>8</v>
      </c>
      <c r="H16" s="50">
        <f>VLOOKUP($E16,'Význam vady'!$B$4:$C$13,2,FALSE)</f>
        <v>4</v>
      </c>
      <c r="I16" s="50">
        <f>VLOOKUP($F16,'Význam vady'!$D$4:$F$13,3,FALSE)</f>
        <v>8</v>
      </c>
      <c r="J16" s="49" t="s">
        <v>153</v>
      </c>
      <c r="K16" s="50" t="s">
        <v>159</v>
      </c>
      <c r="L16" s="50">
        <f>VLOOKUP($K16,'Pravděpodobnost výskytu'!$B$4:$C$13,2,FALSE)</f>
        <v>6</v>
      </c>
      <c r="M16" s="49" t="s">
        <v>165</v>
      </c>
      <c r="N16" s="49" t="s">
        <v>168</v>
      </c>
      <c r="O16" s="51" t="s">
        <v>178</v>
      </c>
      <c r="P16" s="51">
        <f>VLOOKUP($O16,'Pravděpodobnost odhalení'!$D$4:$E$13,2,FALSE)</f>
        <v>2</v>
      </c>
      <c r="Q16" s="11">
        <f t="shared" si="1"/>
        <v>96</v>
      </c>
      <c r="R16" s="45" t="s">
        <v>189</v>
      </c>
      <c r="S16" s="46">
        <v>46082</v>
      </c>
      <c r="T16" s="62" t="b">
        <v>1</v>
      </c>
    </row>
    <row r="17" spans="1:20" s="15" customFormat="1" ht="42" customHeight="1" x14ac:dyDescent="0.35">
      <c r="A17" s="72"/>
      <c r="B17" s="55" t="s">
        <v>123</v>
      </c>
      <c r="C17" s="55" t="s">
        <v>179</v>
      </c>
      <c r="D17" s="57" t="s">
        <v>172</v>
      </c>
      <c r="E17" s="48" t="s">
        <v>45</v>
      </c>
      <c r="F17" s="47" t="s">
        <v>129</v>
      </c>
      <c r="G17" s="48">
        <f>MAX(H17:I17)</f>
        <v>6</v>
      </c>
      <c r="H17" s="50">
        <f>VLOOKUP($E17,'Význam vady'!$B$4:$C$13,2,FALSE)</f>
        <v>5</v>
      </c>
      <c r="I17" s="50">
        <f>VLOOKUP($F17,'Význam vady'!$D$4:$F$13,3,FALSE)</f>
        <v>6</v>
      </c>
      <c r="J17" s="49" t="s">
        <v>155</v>
      </c>
      <c r="K17" s="50" t="s">
        <v>162</v>
      </c>
      <c r="L17" s="50">
        <f>VLOOKUP($K17,'Pravděpodobnost výskytu'!$B$4:$C$13,2,FALSE)</f>
        <v>10</v>
      </c>
      <c r="M17" s="49" t="s">
        <v>166</v>
      </c>
      <c r="N17" s="49" t="s">
        <v>169</v>
      </c>
      <c r="O17" s="51" t="s">
        <v>135</v>
      </c>
      <c r="P17" s="51">
        <f>VLOOKUP($O17,'Pravděpodobnost odhalení'!$D$4:$E$13,2,FALSE)</f>
        <v>3</v>
      </c>
      <c r="Q17" s="11">
        <f t="shared" si="1"/>
        <v>180</v>
      </c>
      <c r="R17" s="45" t="s">
        <v>188</v>
      </c>
      <c r="S17" s="46">
        <v>46082</v>
      </c>
      <c r="T17" s="62" t="b">
        <v>1</v>
      </c>
    </row>
    <row r="18" spans="1:20" s="15" customFormat="1" ht="42" customHeight="1" x14ac:dyDescent="0.35">
      <c r="A18" s="72"/>
      <c r="B18" s="55" t="s">
        <v>139</v>
      </c>
      <c r="C18" s="55" t="s">
        <v>140</v>
      </c>
      <c r="D18" s="57" t="s">
        <v>107</v>
      </c>
      <c r="E18" s="48" t="s">
        <v>76</v>
      </c>
      <c r="F18" s="47" t="s">
        <v>127</v>
      </c>
      <c r="G18" s="48">
        <f t="shared" si="0"/>
        <v>8</v>
      </c>
      <c r="H18" s="50">
        <f>VLOOKUP($E18,'Význam vady'!$B$4:$C$13,2,FALSE)</f>
        <v>4</v>
      </c>
      <c r="I18" s="50">
        <f>VLOOKUP($F18,'Význam vady'!$D$4:$F$13,3,FALSE)</f>
        <v>8</v>
      </c>
      <c r="J18" s="49" t="s">
        <v>145</v>
      </c>
      <c r="K18" s="50" t="s">
        <v>132</v>
      </c>
      <c r="L18" s="50">
        <f>VLOOKUP($K18,'Pravděpodobnost výskytu'!$B$4:$C$13,2,FALSE)</f>
        <v>7</v>
      </c>
      <c r="M18" s="49" t="s">
        <v>165</v>
      </c>
      <c r="N18" s="49" t="s">
        <v>134</v>
      </c>
      <c r="O18" s="51" t="s">
        <v>175</v>
      </c>
      <c r="P18" s="51">
        <f>VLOOKUP($O18,'Pravděpodobnost odhalení'!$D$4:$E$13,2,FALSE)</f>
        <v>6</v>
      </c>
      <c r="Q18" s="11">
        <f t="shared" si="1"/>
        <v>336</v>
      </c>
      <c r="R18" s="45" t="s">
        <v>180</v>
      </c>
      <c r="S18" s="46">
        <v>46034</v>
      </c>
      <c r="T18" s="62" t="b">
        <v>1</v>
      </c>
    </row>
    <row r="19" spans="1:20" s="15" customFormat="1" ht="42" customHeight="1" x14ac:dyDescent="0.35">
      <c r="A19" s="72"/>
      <c r="B19" s="59" t="s">
        <v>124</v>
      </c>
      <c r="C19" s="55" t="s">
        <v>94</v>
      </c>
      <c r="D19" s="57" t="s">
        <v>144</v>
      </c>
      <c r="E19" s="48" t="s">
        <v>45</v>
      </c>
      <c r="F19" s="47" t="s">
        <v>127</v>
      </c>
      <c r="G19" s="48">
        <f t="shared" si="0"/>
        <v>8</v>
      </c>
      <c r="H19" s="50">
        <f>VLOOKUP($E19,'Význam vady'!$B$4:$C$13,2,FALSE)</f>
        <v>5</v>
      </c>
      <c r="I19" s="50">
        <f>VLOOKUP($F19,'Význam vady'!$D$4:$F$13,3,FALSE)</f>
        <v>8</v>
      </c>
      <c r="J19" s="49" t="s">
        <v>156</v>
      </c>
      <c r="K19" s="50" t="s">
        <v>132</v>
      </c>
      <c r="L19" s="50">
        <f>VLOOKUP($K19,'Pravděpodobnost výskytu'!$B$4:$C$13,2,FALSE)</f>
        <v>7</v>
      </c>
      <c r="M19" s="49" t="s">
        <v>164</v>
      </c>
      <c r="N19" s="49" t="s">
        <v>170</v>
      </c>
      <c r="O19" s="51" t="s">
        <v>177</v>
      </c>
      <c r="P19" s="51">
        <f>VLOOKUP($O19,'Pravděpodobnost odhalení'!$D$4:$E$13,2,FALSE)</f>
        <v>1</v>
      </c>
      <c r="Q19" s="11">
        <f t="shared" si="1"/>
        <v>56</v>
      </c>
      <c r="R19" s="45" t="s">
        <v>190</v>
      </c>
      <c r="S19" s="46">
        <v>46113</v>
      </c>
      <c r="T19" s="62" t="b">
        <v>0</v>
      </c>
    </row>
    <row r="20" spans="1:20" s="15" customFormat="1" ht="42" customHeight="1" x14ac:dyDescent="0.35">
      <c r="A20" s="72"/>
      <c r="B20" s="58" t="s">
        <v>116</v>
      </c>
      <c r="C20" s="55" t="s">
        <v>115</v>
      </c>
      <c r="D20" s="57" t="s">
        <v>118</v>
      </c>
      <c r="E20" s="48" t="s">
        <v>76</v>
      </c>
      <c r="F20" s="47" t="s">
        <v>129</v>
      </c>
      <c r="G20" s="48">
        <f t="shared" si="0"/>
        <v>6</v>
      </c>
      <c r="H20" s="50">
        <f>VLOOKUP($E20,'Význam vady'!$B$4:$C$13,2,FALSE)</f>
        <v>4</v>
      </c>
      <c r="I20" s="50">
        <f>VLOOKUP($F20,'Význam vady'!$D$4:$F$13,3,FALSE)</f>
        <v>6</v>
      </c>
      <c r="J20" s="49" t="s">
        <v>157</v>
      </c>
      <c r="K20" s="50" t="s">
        <v>132</v>
      </c>
      <c r="L20" s="50">
        <f>VLOOKUP($K20,'Pravděpodobnost výskytu'!$B$4:$C$13,2,FALSE)</f>
        <v>7</v>
      </c>
      <c r="M20" s="49" t="s">
        <v>165</v>
      </c>
      <c r="N20" s="49" t="s">
        <v>134</v>
      </c>
      <c r="O20" s="51" t="s">
        <v>135</v>
      </c>
      <c r="P20" s="51">
        <f>VLOOKUP($O20,'Pravděpodobnost odhalení'!$D$4:$E$13,2,FALSE)</f>
        <v>3</v>
      </c>
      <c r="Q20" s="11">
        <f t="shared" si="1"/>
        <v>126</v>
      </c>
      <c r="R20" s="45" t="s">
        <v>187</v>
      </c>
      <c r="S20" s="46">
        <v>46113</v>
      </c>
      <c r="T20" s="62" t="b">
        <v>0</v>
      </c>
    </row>
    <row r="21" spans="1:20" s="15" customFormat="1" ht="42" customHeight="1" x14ac:dyDescent="0.35">
      <c r="A21" s="72"/>
      <c r="B21" s="59" t="s">
        <v>141</v>
      </c>
      <c r="C21" s="56" t="s">
        <v>143</v>
      </c>
      <c r="D21" s="56" t="s">
        <v>144</v>
      </c>
      <c r="E21" s="48" t="s">
        <v>45</v>
      </c>
      <c r="F21" s="47" t="s">
        <v>129</v>
      </c>
      <c r="G21" s="48">
        <f t="shared" si="0"/>
        <v>6</v>
      </c>
      <c r="H21" s="50">
        <f>VLOOKUP($E21,'Význam vady'!$B$4:$C$13,2,FALSE)</f>
        <v>5</v>
      </c>
      <c r="I21" s="50">
        <f>VLOOKUP($F21,'Význam vady'!$D$4:$F$13,3,FALSE)</f>
        <v>6</v>
      </c>
      <c r="J21" s="49" t="s">
        <v>151</v>
      </c>
      <c r="K21" s="50" t="s">
        <v>162</v>
      </c>
      <c r="L21" s="50">
        <f>VLOOKUP($K21,'Pravděpodobnost výskytu'!$B$4:$C$13,2,FALSE)</f>
        <v>10</v>
      </c>
      <c r="M21" s="49" t="s">
        <v>166</v>
      </c>
      <c r="N21" s="49" t="s">
        <v>169</v>
      </c>
      <c r="O21" s="51" t="s">
        <v>135</v>
      </c>
      <c r="P21" s="51">
        <f>VLOOKUP($O21,'Pravděpodobnost odhalení'!$D$4:$E$13,2,FALSE)</f>
        <v>3</v>
      </c>
      <c r="Q21" s="11">
        <f t="shared" si="1"/>
        <v>180</v>
      </c>
      <c r="R21" s="45" t="s">
        <v>191</v>
      </c>
      <c r="S21" s="46">
        <v>46296</v>
      </c>
      <c r="T21" s="62" t="b">
        <v>1</v>
      </c>
    </row>
    <row r="22" spans="1:20" s="15" customFormat="1" ht="42" customHeight="1" x14ac:dyDescent="0.35">
      <c r="A22" s="72"/>
      <c r="B22" s="59" t="s">
        <v>142</v>
      </c>
      <c r="C22" s="56" t="s">
        <v>143</v>
      </c>
      <c r="D22" s="57" t="s">
        <v>144</v>
      </c>
      <c r="E22" s="48" t="s">
        <v>45</v>
      </c>
      <c r="F22" s="47" t="s">
        <v>129</v>
      </c>
      <c r="G22" s="48">
        <f t="shared" si="0"/>
        <v>6</v>
      </c>
      <c r="H22" s="50">
        <f>VLOOKUP($E22,'Význam vady'!$B$4:$C$13,2,FALSE)</f>
        <v>5</v>
      </c>
      <c r="I22" s="50">
        <f>VLOOKUP($F22,'Význam vady'!$D$4:$F$13,3,FALSE)</f>
        <v>6</v>
      </c>
      <c r="J22" s="49" t="s">
        <v>158</v>
      </c>
      <c r="K22" s="50" t="s">
        <v>162</v>
      </c>
      <c r="L22" s="50">
        <f>VLOOKUP($K22,'Pravděpodobnost výskytu'!$B$4:$C$13,2,FALSE)</f>
        <v>10</v>
      </c>
      <c r="M22" s="49" t="s">
        <v>166</v>
      </c>
      <c r="N22" s="49" t="s">
        <v>169</v>
      </c>
      <c r="O22" s="51" t="s">
        <v>135</v>
      </c>
      <c r="P22" s="51">
        <f>VLOOKUP($O22,'Pravděpodobnost odhalení'!$D$4:$E$13,2,FALSE)</f>
        <v>3</v>
      </c>
      <c r="Q22" s="11">
        <f t="shared" si="1"/>
        <v>180</v>
      </c>
      <c r="R22" s="45" t="s">
        <v>191</v>
      </c>
      <c r="S22" s="46">
        <v>46296</v>
      </c>
      <c r="T22" s="62" t="b">
        <v>1</v>
      </c>
    </row>
    <row r="23" spans="1:20" s="15" customFormat="1" ht="42" customHeight="1" x14ac:dyDescent="0.35">
      <c r="A23" s="72"/>
      <c r="B23" s="59" t="s">
        <v>124</v>
      </c>
      <c r="C23" s="55" t="s">
        <v>171</v>
      </c>
      <c r="D23" s="57" t="s">
        <v>144</v>
      </c>
      <c r="E23" s="48" t="s">
        <v>45</v>
      </c>
      <c r="F23" s="47" t="s">
        <v>129</v>
      </c>
      <c r="G23" s="48">
        <f t="shared" si="0"/>
        <v>6</v>
      </c>
      <c r="H23" s="50">
        <f>VLOOKUP($E23,'Význam vady'!$B$4:$C$13,2,FALSE)</f>
        <v>5</v>
      </c>
      <c r="I23" s="50">
        <f>VLOOKUP($F23,'Význam vady'!$D$4:$F$13,3,FALSE)</f>
        <v>6</v>
      </c>
      <c r="J23" s="49" t="s">
        <v>173</v>
      </c>
      <c r="K23" s="50" t="s">
        <v>161</v>
      </c>
      <c r="L23" s="50">
        <f>VLOOKUP($K23,'Pravděpodobnost výskytu'!$B$4:$C$13,2,FALSE)</f>
        <v>8</v>
      </c>
      <c r="M23" s="49" t="s">
        <v>164</v>
      </c>
      <c r="N23" s="49" t="s">
        <v>169</v>
      </c>
      <c r="O23" s="51" t="s">
        <v>135</v>
      </c>
      <c r="P23" s="51">
        <f>VLOOKUP($O23,'Pravděpodobnost odhalení'!$D$4:$E$13,2,FALSE)</f>
        <v>3</v>
      </c>
      <c r="Q23" s="11">
        <f t="shared" si="1"/>
        <v>144</v>
      </c>
      <c r="R23" s="45" t="s">
        <v>192</v>
      </c>
      <c r="S23" s="46">
        <v>46082</v>
      </c>
      <c r="T23" s="62" t="b">
        <v>1</v>
      </c>
    </row>
  </sheetData>
  <mergeCells count="19">
    <mergeCell ref="O1:O2"/>
    <mergeCell ref="N1:N2"/>
    <mergeCell ref="J1:J2"/>
    <mergeCell ref="A1:A2"/>
    <mergeCell ref="A15:A23"/>
    <mergeCell ref="A3:A14"/>
    <mergeCell ref="K1:K2"/>
    <mergeCell ref="L1:L2"/>
    <mergeCell ref="M1:M2"/>
    <mergeCell ref="G1:G2"/>
    <mergeCell ref="B1:B2"/>
    <mergeCell ref="C1:C2"/>
    <mergeCell ref="D1:D2"/>
    <mergeCell ref="E1:F1"/>
    <mergeCell ref="T1:T2"/>
    <mergeCell ref="R1:R2"/>
    <mergeCell ref="S1:S2"/>
    <mergeCell ref="P1:P2"/>
    <mergeCell ref="Q1:Q2"/>
  </mergeCells>
  <phoneticPr fontId="9" type="noConversion"/>
  <pageMargins left="0.25" right="0.25" top="0.75" bottom="0.75" header="0.3" footer="0.3"/>
  <pageSetup paperSize="9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'Pravděpodobnost odhalení'!$D$4:$D$13</xm:f>
          </x14:formula1>
          <xm:sqref>O3:O23</xm:sqref>
        </x14:dataValidation>
        <x14:dataValidation type="list" allowBlank="1" showInputMessage="1" showErrorMessage="1" xr:uid="{00000000-0002-0000-0500-000002000000}">
          <x14:formula1>
            <xm:f>'Význam vady'!$D$4:$D$13</xm:f>
          </x14:formula1>
          <xm:sqref>F3:F23</xm:sqref>
        </x14:dataValidation>
        <x14:dataValidation type="list" allowBlank="1" showInputMessage="1" showErrorMessage="1" xr:uid="{00000000-0002-0000-0500-000003000000}">
          <x14:formula1>
            <xm:f>'Význam vady'!$B$4:$B$13</xm:f>
          </x14:formula1>
          <xm:sqref>E3:E23</xm:sqref>
        </x14:dataValidation>
        <x14:dataValidation type="list" allowBlank="1" showInputMessage="1" showErrorMessage="1" xr:uid="{00000000-0002-0000-0500-000004000000}">
          <x14:formula1>
            <xm:f>'Pravděpodobnost výskytu'!$B$4:$B$13</xm:f>
          </x14:formula1>
          <xm:sqref>K3:K23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F13"/>
  <sheetViews>
    <sheetView zoomScale="90" zoomScaleNormal="90" workbookViewId="0">
      <selection activeCell="F4" sqref="F4"/>
    </sheetView>
  </sheetViews>
  <sheetFormatPr defaultRowHeight="14.5" x14ac:dyDescent="0.35"/>
  <cols>
    <col min="1" max="1" width="20.08984375" customWidth="1"/>
    <col min="2" max="2" width="32.90625" customWidth="1"/>
    <col min="3" max="3" width="8.90625" customWidth="1"/>
    <col min="4" max="4" width="60" customWidth="1"/>
    <col min="5" max="5" width="21.08984375" customWidth="1"/>
  </cols>
  <sheetData>
    <row r="1" spans="1:6" ht="36.65" customHeight="1" thickBot="1" x14ac:dyDescent="0.4">
      <c r="A1" s="81" t="s">
        <v>73</v>
      </c>
      <c r="B1" s="81"/>
      <c r="C1" s="81"/>
      <c r="D1" s="81"/>
      <c r="E1" s="81"/>
      <c r="F1" s="81"/>
    </row>
    <row r="2" spans="1:6" ht="36.75" customHeight="1" thickTop="1" thickBot="1" x14ac:dyDescent="0.4">
      <c r="A2" s="94" t="s">
        <v>72</v>
      </c>
      <c r="B2" s="95"/>
      <c r="C2" s="93" t="s">
        <v>8</v>
      </c>
      <c r="D2" s="87" t="s">
        <v>71</v>
      </c>
      <c r="E2" s="87"/>
      <c r="F2" s="88" t="s">
        <v>8</v>
      </c>
    </row>
    <row r="3" spans="1:6" ht="15.75" customHeight="1" thickBot="1" x14ac:dyDescent="0.4">
      <c r="A3" s="39" t="s">
        <v>14</v>
      </c>
      <c r="B3" s="40" t="s">
        <v>15</v>
      </c>
      <c r="C3" s="89"/>
      <c r="D3" s="41" t="s">
        <v>15</v>
      </c>
      <c r="E3" s="42" t="s">
        <v>14</v>
      </c>
      <c r="F3" s="89"/>
    </row>
    <row r="4" spans="1:6" ht="33.75" customHeight="1" thickBot="1" x14ac:dyDescent="0.4">
      <c r="A4" s="96" t="s">
        <v>17</v>
      </c>
      <c r="B4" s="14" t="s">
        <v>40</v>
      </c>
      <c r="C4" s="2">
        <v>10</v>
      </c>
      <c r="D4" s="37" t="s">
        <v>125</v>
      </c>
      <c r="E4" s="82" t="s">
        <v>17</v>
      </c>
      <c r="F4" s="2">
        <v>10</v>
      </c>
    </row>
    <row r="5" spans="1:6" ht="38.25" customHeight="1" thickBot="1" x14ac:dyDescent="0.4">
      <c r="A5" s="97"/>
      <c r="B5" s="14" t="s">
        <v>41</v>
      </c>
      <c r="C5" s="2">
        <v>9</v>
      </c>
      <c r="D5" s="37" t="s">
        <v>126</v>
      </c>
      <c r="E5" s="83"/>
      <c r="F5" s="2">
        <v>9</v>
      </c>
    </row>
    <row r="6" spans="1:6" ht="40.5" customHeight="1" thickBot="1" x14ac:dyDescent="0.4">
      <c r="A6" s="98" t="s">
        <v>18</v>
      </c>
      <c r="B6" s="14" t="s">
        <v>42</v>
      </c>
      <c r="C6" s="2">
        <v>8</v>
      </c>
      <c r="D6" s="37" t="s">
        <v>127</v>
      </c>
      <c r="E6" s="38" t="s">
        <v>22</v>
      </c>
      <c r="F6" s="2">
        <v>8</v>
      </c>
    </row>
    <row r="7" spans="1:6" ht="43.5" customHeight="1" thickBot="1" x14ac:dyDescent="0.4">
      <c r="A7" s="97"/>
      <c r="B7" s="14" t="s">
        <v>43</v>
      </c>
      <c r="C7" s="2">
        <v>7</v>
      </c>
      <c r="D7" s="37" t="s">
        <v>128</v>
      </c>
      <c r="E7" s="38" t="s">
        <v>23</v>
      </c>
      <c r="F7" s="2">
        <v>7</v>
      </c>
    </row>
    <row r="8" spans="1:6" ht="25.5" customHeight="1" thickBot="1" x14ac:dyDescent="0.4">
      <c r="A8" s="98" t="s">
        <v>19</v>
      </c>
      <c r="B8" s="14" t="s">
        <v>44</v>
      </c>
      <c r="C8" s="2">
        <v>6</v>
      </c>
      <c r="D8" s="37" t="s">
        <v>129</v>
      </c>
      <c r="E8" s="84" t="s">
        <v>24</v>
      </c>
      <c r="F8" s="2">
        <v>6</v>
      </c>
    </row>
    <row r="9" spans="1:6" ht="41.25" customHeight="1" thickBot="1" x14ac:dyDescent="0.4">
      <c r="A9" s="99"/>
      <c r="B9" s="14" t="s">
        <v>45</v>
      </c>
      <c r="C9" s="2">
        <v>5</v>
      </c>
      <c r="D9" s="37" t="s">
        <v>129</v>
      </c>
      <c r="E9" s="85"/>
      <c r="F9" s="2">
        <v>5</v>
      </c>
    </row>
    <row r="10" spans="1:6" ht="32.25" customHeight="1" thickBot="1" x14ac:dyDescent="0.4">
      <c r="A10" s="90" t="s">
        <v>20</v>
      </c>
      <c r="B10" s="14" t="s">
        <v>76</v>
      </c>
      <c r="C10" s="2">
        <v>4</v>
      </c>
      <c r="D10" s="37" t="s">
        <v>129</v>
      </c>
      <c r="E10" s="85"/>
      <c r="F10" s="2">
        <v>4</v>
      </c>
    </row>
    <row r="11" spans="1:6" ht="33.75" customHeight="1" thickBot="1" x14ac:dyDescent="0.4">
      <c r="A11" s="91"/>
      <c r="B11" s="14" t="s">
        <v>75</v>
      </c>
      <c r="C11" s="2">
        <v>3</v>
      </c>
      <c r="D11" s="37" t="s">
        <v>129</v>
      </c>
      <c r="E11" s="86"/>
      <c r="F11" s="2">
        <v>3</v>
      </c>
    </row>
    <row r="12" spans="1:6" ht="32.25" customHeight="1" thickBot="1" x14ac:dyDescent="0.4">
      <c r="A12" s="92"/>
      <c r="B12" s="14" t="s">
        <v>77</v>
      </c>
      <c r="C12" s="2">
        <v>2</v>
      </c>
      <c r="D12" s="37" t="s">
        <v>130</v>
      </c>
      <c r="E12" s="38" t="s">
        <v>25</v>
      </c>
      <c r="F12" s="2">
        <v>2</v>
      </c>
    </row>
    <row r="13" spans="1:6" ht="35.25" customHeight="1" thickBot="1" x14ac:dyDescent="0.4">
      <c r="A13" s="36" t="s">
        <v>21</v>
      </c>
      <c r="B13" s="14" t="s">
        <v>46</v>
      </c>
      <c r="C13" s="2">
        <v>1</v>
      </c>
      <c r="D13" s="37" t="s">
        <v>47</v>
      </c>
      <c r="E13" s="38" t="s">
        <v>26</v>
      </c>
      <c r="F13" s="2">
        <v>1</v>
      </c>
    </row>
  </sheetData>
  <mergeCells count="11">
    <mergeCell ref="A1:F1"/>
    <mergeCell ref="E4:E5"/>
    <mergeCell ref="E8:E11"/>
    <mergeCell ref="D2:E2"/>
    <mergeCell ref="F2:F3"/>
    <mergeCell ref="A10:A12"/>
    <mergeCell ref="C2:C3"/>
    <mergeCell ref="A2:B2"/>
    <mergeCell ref="A4:A5"/>
    <mergeCell ref="A6:A7"/>
    <mergeCell ref="A8:A9"/>
  </mergeCells>
  <pageMargins left="0.51181102362204722" right="0.51181102362204722" top="0.78740157480314965" bottom="0.78740157480314965" header="0.31496062992125984" footer="0.31496062992125984"/>
  <pageSetup paperSize="9" scale="8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C13"/>
  <sheetViews>
    <sheetView workbookViewId="0">
      <selection activeCell="B30" sqref="B30"/>
    </sheetView>
  </sheetViews>
  <sheetFormatPr defaultRowHeight="15.5" x14ac:dyDescent="0.35"/>
  <cols>
    <col min="1" max="1" width="8.90625" style="34"/>
    <col min="2" max="2" width="34.453125" bestFit="1" customWidth="1"/>
    <col min="3" max="3" width="8.90625" style="30"/>
  </cols>
  <sheetData>
    <row r="1" spans="1:3" ht="21" x14ac:dyDescent="0.5">
      <c r="A1" s="101" t="s">
        <v>70</v>
      </c>
      <c r="B1" s="101"/>
      <c r="C1" s="101"/>
    </row>
    <row r="2" spans="1:3" ht="16" thickBot="1" x14ac:dyDescent="0.4"/>
    <row r="3" spans="1:3" s="15" customFormat="1" ht="21" customHeight="1" thickBot="1" x14ac:dyDescent="0.4">
      <c r="A3" s="28" t="s">
        <v>9</v>
      </c>
      <c r="B3" s="28" t="s">
        <v>4</v>
      </c>
      <c r="C3" s="29" t="s">
        <v>8</v>
      </c>
    </row>
    <row r="4" spans="1:3" s="15" customFormat="1" ht="19.25" customHeight="1" thickBot="1" x14ac:dyDescent="0.4">
      <c r="A4" s="100" t="s">
        <v>10</v>
      </c>
      <c r="B4" s="24" t="s">
        <v>60</v>
      </c>
      <c r="C4" s="31">
        <v>10</v>
      </c>
    </row>
    <row r="5" spans="1:3" s="15" customFormat="1" ht="19.25" customHeight="1" thickBot="1" x14ac:dyDescent="0.4">
      <c r="A5" s="100"/>
      <c r="B5" s="25" t="s">
        <v>61</v>
      </c>
      <c r="C5" s="32">
        <v>9</v>
      </c>
    </row>
    <row r="6" spans="1:3" s="15" customFormat="1" ht="19.25" customHeight="1" thickBot="1" x14ac:dyDescent="0.4">
      <c r="A6" s="100"/>
      <c r="B6" s="25" t="s">
        <v>62</v>
      </c>
      <c r="C6" s="32">
        <v>8</v>
      </c>
    </row>
    <row r="7" spans="1:3" s="15" customFormat="1" ht="19.25" customHeight="1" thickBot="1" x14ac:dyDescent="0.4">
      <c r="A7" s="100"/>
      <c r="B7" s="26" t="s">
        <v>63</v>
      </c>
      <c r="C7" s="33">
        <v>7</v>
      </c>
    </row>
    <row r="8" spans="1:3" s="15" customFormat="1" ht="19.25" customHeight="1" thickBot="1" x14ac:dyDescent="0.4">
      <c r="A8" s="100"/>
      <c r="B8" s="24" t="s">
        <v>64</v>
      </c>
      <c r="C8" s="31">
        <v>6</v>
      </c>
    </row>
    <row r="9" spans="1:3" s="15" customFormat="1" ht="19.25" customHeight="1" thickBot="1" x14ac:dyDescent="0.4">
      <c r="A9" s="100"/>
      <c r="B9" s="25" t="s">
        <v>65</v>
      </c>
      <c r="C9" s="32">
        <v>5</v>
      </c>
    </row>
    <row r="10" spans="1:3" s="15" customFormat="1" ht="19.25" customHeight="1" thickBot="1" x14ac:dyDescent="0.4">
      <c r="A10" s="100"/>
      <c r="B10" s="26" t="s">
        <v>66</v>
      </c>
      <c r="C10" s="33">
        <v>4</v>
      </c>
    </row>
    <row r="11" spans="1:3" s="15" customFormat="1" ht="19.25" customHeight="1" thickBot="1" x14ac:dyDescent="0.4">
      <c r="A11" s="100" t="s">
        <v>12</v>
      </c>
      <c r="B11" s="24" t="s">
        <v>67</v>
      </c>
      <c r="C11" s="31">
        <v>3</v>
      </c>
    </row>
    <row r="12" spans="1:3" s="15" customFormat="1" ht="19.25" customHeight="1" thickBot="1" x14ac:dyDescent="0.4">
      <c r="A12" s="100"/>
      <c r="B12" s="26" t="s">
        <v>68</v>
      </c>
      <c r="C12" s="33">
        <v>2</v>
      </c>
    </row>
    <row r="13" spans="1:3" s="15" customFormat="1" ht="19.25" customHeight="1" thickBot="1" x14ac:dyDescent="0.4">
      <c r="A13" s="35" t="s">
        <v>11</v>
      </c>
      <c r="B13" s="27" t="s">
        <v>69</v>
      </c>
      <c r="C13" s="28">
        <v>1</v>
      </c>
    </row>
  </sheetData>
  <mergeCells count="4">
    <mergeCell ref="A4:A7"/>
    <mergeCell ref="A8:A10"/>
    <mergeCell ref="A11:A12"/>
    <mergeCell ref="A1:C1"/>
  </mergeCells>
  <pageMargins left="1.6929133858267718" right="0.70866141732283472" top="0.78740157480314965" bottom="0.78740157480314965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E13"/>
  <sheetViews>
    <sheetView topLeftCell="A3" zoomScale="90" zoomScaleNormal="90" workbookViewId="0">
      <selection activeCell="J13" sqref="J13"/>
    </sheetView>
  </sheetViews>
  <sheetFormatPr defaultRowHeight="14.5" x14ac:dyDescent="0.35"/>
  <cols>
    <col min="3" max="3" width="28.453125" customWidth="1"/>
    <col min="4" max="4" width="21.90625" bestFit="1" customWidth="1"/>
    <col min="5" max="5" width="8.90625" style="1"/>
  </cols>
  <sheetData>
    <row r="1" spans="1:5" s="16" customFormat="1" ht="21.65" customHeight="1" x14ac:dyDescent="0.35">
      <c r="A1" s="110" t="s">
        <v>58</v>
      </c>
      <c r="B1" s="110"/>
      <c r="C1" s="110"/>
      <c r="D1" s="110"/>
      <c r="E1" s="110"/>
    </row>
    <row r="3" spans="1:5" ht="29" x14ac:dyDescent="0.35">
      <c r="A3" s="17"/>
      <c r="B3" s="7"/>
      <c r="C3" s="10" t="s">
        <v>59</v>
      </c>
      <c r="D3" s="9" t="s">
        <v>6</v>
      </c>
      <c r="E3" s="8" t="s">
        <v>8</v>
      </c>
    </row>
    <row r="4" spans="1:5" ht="29" x14ac:dyDescent="0.35">
      <c r="A4" s="21"/>
      <c r="B4" s="108" t="s">
        <v>39</v>
      </c>
      <c r="C4" s="3" t="s">
        <v>30</v>
      </c>
      <c r="D4" s="12" t="s">
        <v>48</v>
      </c>
      <c r="E4" s="18">
        <v>10</v>
      </c>
    </row>
    <row r="5" spans="1:5" ht="43.5" x14ac:dyDescent="0.35">
      <c r="B5" s="108"/>
      <c r="C5" s="3" t="s">
        <v>27</v>
      </c>
      <c r="D5" s="12" t="s">
        <v>49</v>
      </c>
      <c r="E5" s="19">
        <v>9</v>
      </c>
    </row>
    <row r="6" spans="1:5" ht="43.5" x14ac:dyDescent="0.35">
      <c r="B6" s="108"/>
      <c r="C6" s="5" t="s">
        <v>31</v>
      </c>
      <c r="D6" s="12" t="s">
        <v>50</v>
      </c>
      <c r="E6" s="19">
        <v>8</v>
      </c>
    </row>
    <row r="7" spans="1:5" ht="73" thickBot="1" x14ac:dyDescent="0.4">
      <c r="A7" s="22"/>
      <c r="B7" s="108"/>
      <c r="C7" s="3" t="s">
        <v>32</v>
      </c>
      <c r="D7" s="12" t="s">
        <v>51</v>
      </c>
      <c r="E7" s="19">
        <v>7</v>
      </c>
    </row>
    <row r="8" spans="1:5" ht="58.5" thickBot="1" x14ac:dyDescent="0.4">
      <c r="A8" s="105" t="s">
        <v>38</v>
      </c>
      <c r="B8" s="109"/>
      <c r="C8" s="3" t="s">
        <v>33</v>
      </c>
      <c r="D8" s="12" t="s">
        <v>52</v>
      </c>
      <c r="E8" s="19">
        <v>6</v>
      </c>
    </row>
    <row r="9" spans="1:5" ht="73" thickBot="1" x14ac:dyDescent="0.4">
      <c r="A9" s="106"/>
      <c r="B9" s="6"/>
      <c r="C9" s="4" t="s">
        <v>29</v>
      </c>
      <c r="D9" s="12" t="s">
        <v>53</v>
      </c>
      <c r="E9" s="19">
        <v>5</v>
      </c>
    </row>
    <row r="10" spans="1:5" ht="58" x14ac:dyDescent="0.35">
      <c r="A10" s="106"/>
      <c r="B10" s="102" t="s">
        <v>37</v>
      </c>
      <c r="C10" s="3" t="s">
        <v>28</v>
      </c>
      <c r="D10" s="12" t="s">
        <v>54</v>
      </c>
      <c r="E10" s="19">
        <v>4</v>
      </c>
    </row>
    <row r="11" spans="1:5" ht="43.5" x14ac:dyDescent="0.35">
      <c r="A11" s="106"/>
      <c r="B11" s="103"/>
      <c r="C11" s="3" t="s">
        <v>34</v>
      </c>
      <c r="D11" s="13" t="s">
        <v>55</v>
      </c>
      <c r="E11" s="18">
        <v>3</v>
      </c>
    </row>
    <row r="12" spans="1:5" ht="44" thickBot="1" x14ac:dyDescent="0.4">
      <c r="A12" s="107"/>
      <c r="B12" s="103"/>
      <c r="C12" s="3" t="s">
        <v>35</v>
      </c>
      <c r="D12" s="12" t="s">
        <v>56</v>
      </c>
      <c r="E12" s="19">
        <v>2</v>
      </c>
    </row>
    <row r="13" spans="1:5" ht="58.5" thickBot="1" x14ac:dyDescent="0.4">
      <c r="A13" s="23"/>
      <c r="B13" s="104"/>
      <c r="C13" s="20" t="s">
        <v>36</v>
      </c>
      <c r="D13" s="13" t="s">
        <v>57</v>
      </c>
      <c r="E13" s="18">
        <v>1</v>
      </c>
    </row>
  </sheetData>
  <mergeCells count="4">
    <mergeCell ref="B10:B13"/>
    <mergeCell ref="A8:A12"/>
    <mergeCell ref="B4:B8"/>
    <mergeCell ref="A1:E1"/>
  </mergeCells>
  <pageMargins left="1.1023622047244095" right="0.70866141732283472" top="0.78740157480314965" bottom="0.78740157480314965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5</vt:i4>
      </vt:variant>
    </vt:vector>
  </HeadingPairs>
  <TitlesOfParts>
    <vt:vector size="10" baseType="lpstr">
      <vt:lpstr>AC_proces zpracování grafik</vt:lpstr>
      <vt:lpstr>Význam vady</vt:lpstr>
      <vt:lpstr>Pravděpodobnost výskytu</vt:lpstr>
      <vt:lpstr>Pravděpodobnost odhalení</vt:lpstr>
      <vt:lpstr>List1</vt:lpstr>
      <vt:lpstr>'AC_proces zpracování grafik'!Oblast_tisku</vt:lpstr>
      <vt:lpstr>'Pravděpodobnost odhalení'!Oblast_tisku</vt:lpstr>
      <vt:lpstr>'Pravděpodobnost výskytu'!Oblast_tisku</vt:lpstr>
      <vt:lpstr>'Význam vady'!Oblast_tisku</vt:lpstr>
      <vt:lpstr>Více_než_1_z_10</vt:lpstr>
    </vt:vector>
  </TitlesOfParts>
  <Company>PREGIS,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Holenda Miroslav</dc:creator>
  <cp:lastModifiedBy>Daniel Černý</cp:lastModifiedBy>
  <cp:lastPrinted>2021-04-08T08:11:53Z</cp:lastPrinted>
  <dcterms:created xsi:type="dcterms:W3CDTF">2016-11-28T12:13:55Z</dcterms:created>
  <dcterms:modified xsi:type="dcterms:W3CDTF">2026-04-25T16:39:44Z</dcterms:modified>
</cp:coreProperties>
</file>