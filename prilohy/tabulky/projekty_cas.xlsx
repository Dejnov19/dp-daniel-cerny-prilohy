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rny\Desktop\skola\Ekonomka\diplomka\zdroje\preciosa_zdroje\codex_source\prilohy\"/>
    </mc:Choice>
  </mc:AlternateContent>
  <xr:revisionPtr revIDLastSave="0" documentId="13_ncr:1_{3DF10969-DD2E-4317-99A9-5CD4C895008F}" xr6:coauthVersionLast="47" xr6:coauthVersionMax="47" xr10:uidLastSave="{00000000-0000-0000-0000-000000000000}"/>
  <bookViews>
    <workbookView xWindow="-110" yWindow="-110" windowWidth="25820" windowHeight="15500" xr2:uid="{F6692C3A-DE33-40F4-869D-20D1512F99E5}"/>
  </bookViews>
  <sheets>
    <sheet name="Časy projektů" sheetId="2" r:id="rId1"/>
    <sheet name="Výpočty úspor" sheetId="3" r:id="rId2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3" l="1"/>
  <c r="G7" i="2"/>
  <c r="G6" i="2"/>
  <c r="G5" i="2"/>
  <c r="G4" i="2"/>
  <c r="G3" i="2"/>
  <c r="G2" i="2"/>
  <c r="B9" i="3" l="1"/>
  <c r="B10" i="3" s="1"/>
  <c r="B11" i="3" s="1"/>
</calcChain>
</file>

<file path=xl/sharedStrings.xml><?xml version="1.0" encoding="utf-8"?>
<sst xmlns="http://schemas.openxmlformats.org/spreadsheetml/2006/main" count="57" uniqueCount="46">
  <si>
    <t>Projekt</t>
  </si>
  <si>
    <t>Hlavní funkce</t>
  </si>
  <si>
    <t>Stav použití</t>
  </si>
  <si>
    <t>AutoCAD_LispScripts</t>
  </si>
  <si>
    <t>Ověření převodu spline a elips na kružnice, kopírování tvarů podle středu a orientace</t>
  </si>
  <si>
    <t>Nahrazeno C# AutoCAD pluginem</t>
  </si>
  <si>
    <t>AutoCAD_Plugin</t>
  </si>
  <si>
    <t>Tvorba výplní, export výrobních dat, převod geometrie, pomocné technologické operace</t>
  </si>
  <si>
    <t>Aktivně používáno</t>
  </si>
  <si>
    <t>Corel_reColor</t>
  </si>
  <si>
    <t>Převod barvy obrysu na výplň a vypnutí obrysu</t>
  </si>
  <si>
    <t>Illustrator_reColor</t>
  </si>
  <si>
    <t>Přebarvení objektů podle vrstev a příprava dat pro DWG export</t>
  </si>
  <si>
    <t>Illustrator_Kusovnik</t>
  </si>
  <si>
    <t>Generování kusovníku podle vrstev a objektů</t>
  </si>
  <si>
    <t>Illustator_Plugin</t>
  </si>
  <si>
    <t>Knihovna kamenů, vkládání tvarů, tvorba vrstev, spouštění pomocných skriptů</t>
  </si>
  <si>
    <t>Dříve používáno, nahrazeno AutoCAD pluginem</t>
  </si>
  <si>
    <t xml:space="preserve">Technolog: 40 </t>
  </si>
  <si>
    <t xml:space="preserve">Technolog: 35 </t>
  </si>
  <si>
    <t xml:space="preserve">Technolog: 25 </t>
  </si>
  <si>
    <t xml:space="preserve">Designer: 60 </t>
  </si>
  <si>
    <t xml:space="preserve">Designer: 50 </t>
  </si>
  <si>
    <t>1 průvodka průměrný čas PŘED (min)</t>
  </si>
  <si>
    <t>1 průvodka průměrný čas PO (min)</t>
  </si>
  <si>
    <t>Celková časová úspora (min)</t>
  </si>
  <si>
    <t xml:space="preserve">Technolog: 40  
Designer: 60 </t>
  </si>
  <si>
    <t xml:space="preserve">Technolog: 30  
Designer: 62 </t>
  </si>
  <si>
    <t>časová úspora za rok</t>
  </si>
  <si>
    <t>Vstupy</t>
  </si>
  <si>
    <t>Hodnota</t>
  </si>
  <si>
    <t>Jednotka</t>
  </si>
  <si>
    <t>Roční počet průvodek/grafik</t>
  </si>
  <si>
    <t>ks</t>
  </si>
  <si>
    <t>Hrubá mzda pracovníka</t>
  </si>
  <si>
    <t>Kč/měsíc</t>
  </si>
  <si>
    <t>Orientační náklad firmy použitý pro odhad</t>
  </si>
  <si>
    <t>Fond pracovní doby</t>
  </si>
  <si>
    <t>h/měsíc</t>
  </si>
  <si>
    <t>Souhrn</t>
  </si>
  <si>
    <t>Roční časová úspora</t>
  </si>
  <si>
    <t>h/rok</t>
  </si>
  <si>
    <t>Přepočet na práci jednoho člověka</t>
  </si>
  <si>
    <t>měsíce</t>
  </si>
  <si>
    <t>Kč/rok</t>
  </si>
  <si>
    <t>Úspora za 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</si>
</sst>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3" fontId="2" fillId="0" borderId="0" xfId="0" applyNumberFormat="1" applyFont="1" applyAlignment="1">
      <alignment wrapText="1"/>
    </xf>
    <xf numFmtId="3" fontId="0" fillId="0" borderId="0" xfId="0" applyNumberFormat="1"/>
    <xf numFmtId="164" fontId="0" fillId="0" borderId="0" xfId="0" applyNumberFormat="1"/>
  </cellXfs>
  <cellStyles count="1">
    <cellStyle name="Normální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numFmt numFmtId="3" formatCode="#,##0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charset val="238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E26DC-6556-417F-A145-7C094C599D10}" name="priloha_prehled_vytvorenych_nastroju" displayName="priloha_prehled_vytvorenych_nastroju" ref="A1:G7" totalsRowShown="0" headerRowDxfId="8" dataDxfId="7">
  <autoFilter ref="A1:G7" xr:uid="{A93E26DC-6556-417F-A145-7C094C599D10}"/>
  <tableColumns count="7">
    <tableColumn id="1" xr3:uid="{4DC15D8F-1098-4263-A721-D01732B99C4E}" name="Projekt" dataDxfId="6"/>
    <tableColumn id="2" xr3:uid="{1393CA1B-A0D7-4BF8-A256-B0EF75CEC231}" name="Hlavní funkce" dataDxfId="5"/>
    <tableColumn id="4" xr3:uid="{B1E04DA3-889C-4634-A7A9-A2AF0E46AF71}" name="Stav použití" dataDxfId="4"/>
    <tableColumn id="5" xr3:uid="{F9A8C743-49B2-4E33-B86D-DDF695A51303}" name="1 průvodka průměrný čas PŘED (min)" dataDxfId="3"/>
    <tableColumn id="6" xr3:uid="{50B7538A-C777-4C0E-A585-5A34A59CC686}" name="1 průvodka průměrný čas PO (min)" dataDxfId="2"/>
    <tableColumn id="7" xr3:uid="{84337831-F711-420D-BFEB-55ED0CCA3348}" name="Celková časová úspora (min)" dataDxfId="1"/>
    <tableColumn id="8" xr3:uid="{C7840463-5A2B-4658-BC2F-FA9B78AE3753}" name="časová úspora za rok" dataDxfId="0">
      <calculatedColumnFormula>priloha_prehled_vytvorenych_nastroju[[#This Row],[Celková časová úspora (min)]]*1000/60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745889-ECC9-4372-AB4C-1D95880A4B48}" name="Tabulka2" displayName="Tabulka2" ref="A2:C6" totalsRowShown="0">
  <autoFilter ref="A2:C6" xr:uid="{DF745889-ECC9-4372-AB4C-1D95880A4B48}"/>
  <tableColumns count="3">
    <tableColumn id="1" xr3:uid="{17F70EA8-F82F-4FA5-8E64-F9575D8A6E84}" name="Vstupy"/>
    <tableColumn id="2" xr3:uid="{F37ED9B2-3302-4C9A-8CB1-8A531B4FF507}" name="Hodnota"/>
    <tableColumn id="3" xr3:uid="{BF00A6BA-8AFF-4F4B-B44E-035400944C15}" name="Jednotk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2A5020-8E23-45B2-BB4D-8836ED185AE6}" name="Tabulka3" displayName="Tabulka3" ref="A8:C11" totalsRowShown="0">
  <autoFilter ref="A8:C11" xr:uid="{6C2A5020-8E23-45B2-BB4D-8836ED185AE6}"/>
  <tableColumns count="3">
    <tableColumn id="1" xr3:uid="{1783543A-162A-41DA-8701-BE5D70A9C3C3}" name="Souhrn"/>
    <tableColumn id="2" xr3:uid="{5E3466D0-21EF-4C51-AD18-4DF1886B026E}" name="Hodnota"/>
    <tableColumn id="3" xr3:uid="{EB95B829-F053-40A4-B691-1A9DAC48A1A3}" name="Jednotk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7C8F-70EC-49D2-B676-13D81A791ABD}">
  <dimension ref="A1:G7"/>
  <sheetViews>
    <sheetView tabSelected="1" workbookViewId="0">
      <selection activeCell="C18" sqref="C18"/>
    </sheetView>
  </sheetViews>
  <sheetFormatPr defaultRowHeight="14.5" x14ac:dyDescent="0.35"/>
  <cols>
    <col min="1" max="1" width="18.1796875" bestFit="1" customWidth="1"/>
    <col min="2" max="2" width="39.81640625" customWidth="1"/>
    <col min="3" max="3" width="22" customWidth="1"/>
    <col min="4" max="4" width="19.81640625" customWidth="1"/>
    <col min="5" max="5" width="18.54296875" customWidth="1"/>
    <col min="7" max="7" width="10.36328125" bestFit="1" customWidth="1"/>
  </cols>
  <sheetData>
    <row r="1" spans="1:7" s="2" customFormat="1" ht="52" x14ac:dyDescent="0.35">
      <c r="A1" s="2" t="s">
        <v>0</v>
      </c>
      <c r="B1" s="2" t="s">
        <v>1</v>
      </c>
      <c r="C1" s="2" t="s">
        <v>2</v>
      </c>
      <c r="D1" s="2" t="s">
        <v>23</v>
      </c>
      <c r="E1" s="2" t="s">
        <v>24</v>
      </c>
      <c r="F1" s="2" t="s">
        <v>25</v>
      </c>
      <c r="G1" s="2" t="s">
        <v>28</v>
      </c>
    </row>
    <row r="2" spans="1:7" s="1" customFormat="1" ht="26.5" x14ac:dyDescent="0.35">
      <c r="A2" s="3" t="s">
        <v>3</v>
      </c>
      <c r="B2" s="3" t="s">
        <v>4</v>
      </c>
      <c r="C2" s="4" t="s">
        <v>5</v>
      </c>
      <c r="D2" s="3" t="s">
        <v>18</v>
      </c>
      <c r="E2" s="3" t="s">
        <v>19</v>
      </c>
      <c r="F2" s="3">
        <v>5</v>
      </c>
      <c r="G2" s="6">
        <f>priloha_prehled_vytvorenych_nastroju[[#This Row],[Celková časová úspora (min)]]*1000/60</f>
        <v>83.333333333333329</v>
      </c>
    </row>
    <row r="3" spans="1:7" s="1" customFormat="1" ht="26.5" x14ac:dyDescent="0.35">
      <c r="A3" s="3" t="s">
        <v>6</v>
      </c>
      <c r="B3" s="3" t="s">
        <v>7</v>
      </c>
      <c r="C3" s="5" t="s">
        <v>8</v>
      </c>
      <c r="D3" s="3" t="s">
        <v>18</v>
      </c>
      <c r="E3" s="3" t="s">
        <v>20</v>
      </c>
      <c r="F3" s="3">
        <v>15</v>
      </c>
      <c r="G3" s="6">
        <f>priloha_prehled_vytvorenych_nastroju[[#This Row],[Celková časová úspora (min)]]*1000/60</f>
        <v>250</v>
      </c>
    </row>
    <row r="4" spans="1:7" s="1" customFormat="1" ht="26.5" x14ac:dyDescent="0.35">
      <c r="A4" s="3" t="s">
        <v>9</v>
      </c>
      <c r="B4" s="3" t="s">
        <v>10</v>
      </c>
      <c r="C4" s="4" t="s">
        <v>17</v>
      </c>
      <c r="D4" s="3" t="s">
        <v>18</v>
      </c>
      <c r="E4" s="3" t="s">
        <v>19</v>
      </c>
      <c r="F4" s="3">
        <v>5</v>
      </c>
      <c r="G4" s="6">
        <f>priloha_prehled_vytvorenych_nastroju[[#This Row],[Celková časová úspora (min)]]*1000/60</f>
        <v>83.333333333333329</v>
      </c>
    </row>
    <row r="5" spans="1:7" s="1" customFormat="1" ht="26.5" x14ac:dyDescent="0.35">
      <c r="A5" s="3" t="s">
        <v>11</v>
      </c>
      <c r="B5" s="3" t="s">
        <v>12</v>
      </c>
      <c r="C5" s="5" t="s">
        <v>8</v>
      </c>
      <c r="D5" s="3" t="s">
        <v>26</v>
      </c>
      <c r="E5" s="3" t="s">
        <v>27</v>
      </c>
      <c r="F5" s="3">
        <v>8</v>
      </c>
      <c r="G5" s="6">
        <f>priloha_prehled_vytvorenych_nastroju[[#This Row],[Celková časová úspora (min)]]*1000/60</f>
        <v>133.33333333333334</v>
      </c>
    </row>
    <row r="6" spans="1:7" s="1" customFormat="1" x14ac:dyDescent="0.35">
      <c r="A6" s="3" t="s">
        <v>13</v>
      </c>
      <c r="B6" s="3" t="s">
        <v>14</v>
      </c>
      <c r="C6" s="5" t="s">
        <v>8</v>
      </c>
      <c r="D6" s="3" t="s">
        <v>21</v>
      </c>
      <c r="E6" s="3" t="s">
        <v>22</v>
      </c>
      <c r="F6" s="3">
        <v>10</v>
      </c>
      <c r="G6" s="6">
        <f>priloha_prehled_vytvorenych_nastroju[[#This Row],[Celková časová úspora (min)]]*1000/60</f>
        <v>166.66666666666666</v>
      </c>
    </row>
    <row r="7" spans="1:7" s="1" customFormat="1" ht="26.5" x14ac:dyDescent="0.35">
      <c r="A7" s="3" t="s">
        <v>15</v>
      </c>
      <c r="B7" s="3" t="s">
        <v>16</v>
      </c>
      <c r="C7" s="5" t="s">
        <v>8</v>
      </c>
      <c r="D7" s="3" t="s">
        <v>21</v>
      </c>
      <c r="E7" s="3" t="s">
        <v>22</v>
      </c>
      <c r="F7" s="3">
        <v>10</v>
      </c>
      <c r="G7" s="6">
        <f>priloha_prehled_vytvorenych_nastroju[[#This Row],[Celková časová úspora (min)]]*1000/60</f>
        <v>166.66666666666666</v>
      </c>
    </row>
  </sheetData>
  <phoneticPr fontId="1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1"/>
  <sheetViews>
    <sheetView workbookViewId="0">
      <selection activeCell="C18" sqref="C18"/>
    </sheetView>
  </sheetViews>
  <sheetFormatPr defaultRowHeight="14.5" x14ac:dyDescent="0.35"/>
  <cols>
    <col min="1" max="1" width="36.453125" customWidth="1"/>
    <col min="2" max="2" width="18" customWidth="1"/>
    <col min="3" max="3" width="11.90625" customWidth="1"/>
  </cols>
  <sheetData>
    <row r="2" spans="1:3" x14ac:dyDescent="0.35">
      <c r="A2" t="s">
        <v>29</v>
      </c>
      <c r="B2" t="s">
        <v>30</v>
      </c>
      <c r="C2" t="s">
        <v>31</v>
      </c>
    </row>
    <row r="3" spans="1:3" x14ac:dyDescent="0.35">
      <c r="A3" t="s">
        <v>32</v>
      </c>
      <c r="B3">
        <v>25</v>
      </c>
      <c r="C3" t="s">
        <v>33</v>
      </c>
    </row>
    <row r="4" spans="1:3" x14ac:dyDescent="0.35">
      <c r="A4" t="s">
        <v>34</v>
      </c>
      <c r="B4" s="7">
        <v>40000</v>
      </c>
      <c r="C4" t="s">
        <v>35</v>
      </c>
    </row>
    <row r="5" spans="1:3" x14ac:dyDescent="0.35">
      <c r="A5" t="s">
        <v>36</v>
      </c>
      <c r="B5" s="7">
        <f>B4*1.25</f>
        <v>50000</v>
      </c>
      <c r="C5" t="s">
        <v>35</v>
      </c>
    </row>
    <row r="6" spans="1:3" x14ac:dyDescent="0.35">
      <c r="A6" t="s">
        <v>37</v>
      </c>
      <c r="B6">
        <v>176</v>
      </c>
      <c r="C6" t="s">
        <v>38</v>
      </c>
    </row>
    <row r="8" spans="1:3" x14ac:dyDescent="0.35">
      <c r="A8" t="s">
        <v>39</v>
      </c>
      <c r="B8" t="s">
        <v>30</v>
      </c>
      <c r="C8" t="s">
        <v>31</v>
      </c>
    </row>
    <row r="9" spans="1:3" x14ac:dyDescent="0.35">
      <c r="A9" t="s">
        <v>40</v>
      </c>
      <c r="B9" s="7">
        <f>SUM('Časy projektů'!G3,'Časy projektů'!G5,'Časy projektů'!G6,'Časy projektů'!G7)</f>
        <v>716.66666666666663</v>
      </c>
      <c r="C9" t="s">
        <v>41</v>
      </c>
    </row>
    <row r="10" spans="1:3" x14ac:dyDescent="0.35">
      <c r="A10" t="s">
        <v>42</v>
      </c>
      <c r="B10" s="8">
        <f>B9/$B$6</f>
        <v>4.0719696969696964</v>
      </c>
      <c r="C10" t="s">
        <v>43</v>
      </c>
    </row>
    <row r="11" spans="1:3" x14ac:dyDescent="0.35">
      <c r="A11" t="s">
        <v>45</v>
      </c>
      <c r="B11" s="7">
        <f>ROUND(B10,0)*$B$5</f>
        <v>200000</v>
      </c>
      <c r="C11" t="s">
        <v>44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730244-1C2D-4B44-9B00-0239C1FD3B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Časy projektů</vt:lpstr>
      <vt:lpstr>Výpočty úspor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Černý</dc:creator>
  <cp:lastModifiedBy>Daniel Černý</cp:lastModifiedBy>
  <dcterms:created xsi:type="dcterms:W3CDTF">2026-04-23T16:58:00Z</dcterms:created>
  <dcterms:modified xsi:type="dcterms:W3CDTF">2026-04-25T16:39:25Z</dcterms:modified>
</cp:coreProperties>
</file>